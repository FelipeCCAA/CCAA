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gjs\OneDrive\Escritorio\Transformación Digital Planta Llanquihue\Costeo y facturación\CCAA estructura contable y costeo\"/>
    </mc:Choice>
  </mc:AlternateContent>
  <xr:revisionPtr revIDLastSave="0" documentId="13_ncr:1_{224B64CD-8B18-408F-AEDB-5FE91EA09DE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Validación de productos" sheetId="5" r:id="rId1"/>
    <sheet name="Código de Producto" sheetId="4" r:id="rId2"/>
    <sheet name="Recetas (detalle)" sheetId="1" state="hidden" r:id="rId3"/>
    <sheet name="Resumen por receta" sheetId="2" state="hidden" r:id="rId4"/>
    <sheet name="Diccionario" sheetId="3" state="hidden" r:id="rId5"/>
  </sheets>
  <definedNames>
    <definedName name="_xlnm._FilterDatabase" localSheetId="2" hidden="1">'Recetas (detalle)'!$A$1:$E$52</definedName>
    <definedName name="_xlnm._FilterDatabase" localSheetId="3" hidden="1">'Resumen por receta'!$A$1:$K$15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5" l="1" a="1"/>
  <c r="A2" i="5" s="1"/>
  <c r="V25" i="4"/>
  <c r="W25" i="4"/>
  <c r="X25" i="4"/>
  <c r="Y25" i="4"/>
  <c r="Z25" i="4"/>
  <c r="AA25" i="4"/>
  <c r="V24" i="4"/>
  <c r="W24" i="4"/>
  <c r="X24" i="4"/>
  <c r="Y24" i="4"/>
  <c r="Z24" i="4"/>
  <c r="AA24" i="4"/>
  <c r="V23" i="4"/>
  <c r="W23" i="4"/>
  <c r="X23" i="4"/>
  <c r="Y23" i="4"/>
  <c r="Z23" i="4"/>
  <c r="AA23" i="4"/>
  <c r="V22" i="4"/>
  <c r="W22" i="4"/>
  <c r="X22" i="4"/>
  <c r="Y22" i="4"/>
  <c r="Z22" i="4"/>
  <c r="AA22" i="4"/>
  <c r="V21" i="4"/>
  <c r="W21" i="4"/>
  <c r="X21" i="4"/>
  <c r="Y21" i="4"/>
  <c r="Z21" i="4"/>
  <c r="AA21" i="4"/>
  <c r="AE21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Z20" i="4"/>
  <c r="Y20" i="4"/>
  <c r="X20" i="4"/>
  <c r="W20" i="4"/>
  <c r="Z19" i="4"/>
  <c r="Y19" i="4"/>
  <c r="X19" i="4"/>
  <c r="W19" i="4"/>
  <c r="Z18" i="4"/>
  <c r="Y18" i="4"/>
  <c r="X18" i="4"/>
  <c r="W18" i="4"/>
  <c r="Z17" i="4"/>
  <c r="Y17" i="4"/>
  <c r="X17" i="4"/>
  <c r="W17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AB25" i="4" l="1"/>
  <c r="AB24" i="4"/>
  <c r="AB23" i="4"/>
  <c r="AB22" i="4"/>
  <c r="AB21" i="4"/>
  <c r="AB7" i="4"/>
  <c r="AB6" i="4"/>
  <c r="AB18" i="4"/>
  <c r="AB17" i="4"/>
  <c r="AB14" i="4"/>
  <c r="AB13" i="4"/>
  <c r="AB12" i="4"/>
  <c r="AB11" i="4"/>
  <c r="AB10" i="4"/>
  <c r="AB9" i="4"/>
  <c r="AB8" i="4"/>
  <c r="AB5" i="4"/>
  <c r="AB20" i="4"/>
  <c r="AB4" i="4"/>
  <c r="AB19" i="4"/>
  <c r="AB3" i="4"/>
  <c r="AB16" i="4"/>
  <c r="AB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José Ignacio Sepúlveda Hermosilla</author>
    <author>tc={DEF9C2AF-ACFF-49E3-9652-E745AF1A84CC}</author>
  </authors>
  <commentList>
    <comment ref="B5" authorId="0" shapeId="0" xr:uid="{7D8E44D8-D6E8-4132-B39E-91DA9166D871}">
      <text>
        <r>
          <rPr>
            <b/>
            <sz val="9"/>
            <color indexed="81"/>
            <rFont val="Tahoma"/>
            <family val="2"/>
          </rPr>
          <t>José Ignacio Sepúlveda Hermosilla:</t>
        </r>
        <r>
          <rPr>
            <sz val="9"/>
            <color indexed="81"/>
            <rFont val="Tahoma"/>
            <family val="2"/>
          </rPr>
          <t xml:space="preserve">
En el archivo d eproducción Jair lo considra como
-&gt;P. Descremado ST 45% 
-&gt;P. Descremado ST 45% CCAA
Añadir Dif servicio/Prod
</t>
        </r>
      </text>
    </comment>
    <comment ref="B18" authorId="1" shapeId="0" xr:uid="{DEF9C2AF-ACFF-49E3-9652-E745AF1A84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Incorporar los rework como productos, mantequilla también, revisar flujos de creación,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<sst xmlns="http://schemas.openxmlformats.org/spreadsheetml/2006/main" count="475" uniqueCount="148">
  <si>
    <t>Código</t>
  </si>
  <si>
    <t>Material</t>
  </si>
  <si>
    <t>Componente</t>
  </si>
  <si>
    <t>Unidad</t>
  </si>
  <si>
    <t>Cantidad / 100 kg</t>
  </si>
  <si>
    <t>5001</t>
  </si>
  <si>
    <t>Precondensado Entero NE Granel</t>
  </si>
  <si>
    <t>Sólidos Grasos</t>
  </si>
  <si>
    <t>kg</t>
  </si>
  <si>
    <t>Sólidos No Grasos</t>
  </si>
  <si>
    <t>5002</t>
  </si>
  <si>
    <t>Leche Entera Estándar 28% NE 25kg</t>
  </si>
  <si>
    <t>Saco de papel</t>
  </si>
  <si>
    <t>un</t>
  </si>
  <si>
    <t>Bolsa Film CE</t>
  </si>
  <si>
    <t>5003</t>
  </si>
  <si>
    <t>Leche Entera Instantánea 27% CN 25kg</t>
  </si>
  <si>
    <t>Lecitina de soya</t>
  </si>
  <si>
    <t>5004</t>
  </si>
  <si>
    <t>Precondensado SemiDescremado Rc0.201 Granel</t>
  </si>
  <si>
    <t>5005</t>
  </si>
  <si>
    <t>Crema fresca 42% Granel NE</t>
  </si>
  <si>
    <t>5006</t>
  </si>
  <si>
    <t>Crema fresca 42% Granel CA</t>
  </si>
  <si>
    <t>6007</t>
  </si>
  <si>
    <t>Mantequilla S-sal 20kg</t>
  </si>
  <si>
    <t>Caja cartón K</t>
  </si>
  <si>
    <t>Bolsa PEBD</t>
  </si>
  <si>
    <t>6008</t>
  </si>
  <si>
    <t>Leche Entera Estándar 27% SP 25kg</t>
  </si>
  <si>
    <t>6009</t>
  </si>
  <si>
    <t>Leche Entera c/LdS 27% SP 25kg</t>
  </si>
  <si>
    <t>6010</t>
  </si>
  <si>
    <t>Leche Descremada MH SP 25kg</t>
  </si>
  <si>
    <t>6011</t>
  </si>
  <si>
    <t>Leche Descremada c/LdS MH SP 25kg</t>
  </si>
  <si>
    <t>6012</t>
  </si>
  <si>
    <t>Mantequilla C-sal 20kg</t>
  </si>
  <si>
    <t>Sal Fina</t>
  </si>
  <si>
    <t>6013</t>
  </si>
  <si>
    <t>Suero WPC CN 25kg</t>
  </si>
  <si>
    <t>6014</t>
  </si>
  <si>
    <t>PROTOMALT NE 25kg</t>
  </si>
  <si>
    <t>Sólidos Disueltos</t>
  </si>
  <si>
    <t>Sólidos Grasos (kg)</t>
  </si>
  <si>
    <t>Sólidos No Grasos (kg)</t>
  </si>
  <si>
    <t>Saco de papel (un)</t>
  </si>
  <si>
    <t>Bolsa Film CE (kg)</t>
  </si>
  <si>
    <t>Lecitina de soya (kg)</t>
  </si>
  <si>
    <t>Caja cartón K (un)</t>
  </si>
  <si>
    <t>Bolsa PEBD (un)</t>
  </si>
  <si>
    <t>Sal Fina (kg)</t>
  </si>
  <si>
    <t>Sólidos Disueltos (kg)</t>
  </si>
  <si>
    <t>Nombre Producción</t>
  </si>
  <si>
    <t>Nombre asignación Leche</t>
  </si>
  <si>
    <t>N1</t>
  </si>
  <si>
    <t>N2</t>
  </si>
  <si>
    <t>Leche en Polvo</t>
  </si>
  <si>
    <t>Pre condensados</t>
  </si>
  <si>
    <t>Crema</t>
  </si>
  <si>
    <t>Matequilla</t>
  </si>
  <si>
    <t>Materiales Diversos</t>
  </si>
  <si>
    <t>01</t>
  </si>
  <si>
    <t>02</t>
  </si>
  <si>
    <t>03</t>
  </si>
  <si>
    <t>04</t>
  </si>
  <si>
    <t>05</t>
  </si>
  <si>
    <t>Categoria Prod</t>
  </si>
  <si>
    <t>Cat</t>
  </si>
  <si>
    <t>Tipo producto</t>
  </si>
  <si>
    <t>Formato</t>
  </si>
  <si>
    <t>Leche Fresca Estandarizada</t>
  </si>
  <si>
    <t>06</t>
  </si>
  <si>
    <t>P. Entero ST 48%</t>
  </si>
  <si>
    <t>Servicio/Producto</t>
  </si>
  <si>
    <t>Local/Export</t>
  </si>
  <si>
    <t xml:space="preserve">P. Descremado ST 45% </t>
  </si>
  <si>
    <t>LEP NESTLÉ</t>
  </si>
  <si>
    <t>LEP COLUN</t>
  </si>
  <si>
    <t>Crema 42% NESTLÉ</t>
  </si>
  <si>
    <t>Crema 42% CCAA</t>
  </si>
  <si>
    <t>Mantequilla sin Sal</t>
  </si>
  <si>
    <t>LEP c/Lec</t>
  </si>
  <si>
    <t>LEP</t>
  </si>
  <si>
    <t>Leche Descremada en Polvo</t>
  </si>
  <si>
    <t xml:space="preserve">Leche Descremada en Polvo C/Lec </t>
  </si>
  <si>
    <t>Suero en Polvo Colun</t>
  </si>
  <si>
    <t>Categoría</t>
  </si>
  <si>
    <t>Tipo</t>
  </si>
  <si>
    <t>Peso kilos</t>
  </si>
  <si>
    <t>SKU</t>
  </si>
  <si>
    <t>Nombre</t>
  </si>
  <si>
    <t>Naturaleza</t>
  </si>
  <si>
    <t>Producto Propio</t>
  </si>
  <si>
    <t>Servicio Terceros</t>
  </si>
  <si>
    <t>Granel</t>
  </si>
  <si>
    <t>Saco 25kg</t>
  </si>
  <si>
    <t>Entera</t>
  </si>
  <si>
    <t>Semidescremada</t>
  </si>
  <si>
    <t>Descremada</t>
  </si>
  <si>
    <t>Con sal</t>
  </si>
  <si>
    <t>Sin sal</t>
  </si>
  <si>
    <t>Mercado</t>
  </si>
  <si>
    <t>Local</t>
  </si>
  <si>
    <t>Exportación</t>
  </si>
  <si>
    <t>Suero</t>
  </si>
  <si>
    <t>Extracto de Malta</t>
  </si>
  <si>
    <t>07</t>
  </si>
  <si>
    <t>08</t>
  </si>
  <si>
    <t>Caja 20kg</t>
  </si>
  <si>
    <t>Leche en Polvo Instantanea</t>
  </si>
  <si>
    <t>09</t>
  </si>
  <si>
    <t>Leche Entera en Polvo Regular 25kg</t>
  </si>
  <si>
    <t>Leche Entera en Polvo Instantánea 25kg</t>
  </si>
  <si>
    <t>Leche en Polvo Descremada Regular 25kg</t>
  </si>
  <si>
    <t>Leche en Polvo Descremada Instantánea 25kg</t>
  </si>
  <si>
    <t>Nombre Archivo producción</t>
  </si>
  <si>
    <t>Cód. Patricio R.</t>
  </si>
  <si>
    <t>Cliente</t>
  </si>
  <si>
    <t>00</t>
  </si>
  <si>
    <t>Cód. Naturaleza</t>
  </si>
  <si>
    <t>Cód. Categoría</t>
  </si>
  <si>
    <t>Cód. Tipo</t>
  </si>
  <si>
    <t>Cód. Formato</t>
  </si>
  <si>
    <t>Cód. Mercado</t>
  </si>
  <si>
    <t>Cód. Cliente</t>
  </si>
  <si>
    <t>Cliente no definido</t>
  </si>
  <si>
    <t>Materiales diversos</t>
  </si>
  <si>
    <t>Sin especificar</t>
  </si>
  <si>
    <t>No definido</t>
  </si>
  <si>
    <t>Rework</t>
  </si>
  <si>
    <t>Nestlé</t>
  </si>
  <si>
    <t>Colun</t>
  </si>
  <si>
    <t>Soprole</t>
  </si>
  <si>
    <t>|</t>
  </si>
  <si>
    <t>P. Semidescremado ST 45% CCAA</t>
  </si>
  <si>
    <t>P. Semidescremado ST 45%</t>
  </si>
  <si>
    <t xml:space="preserve">P. Semidescremado ST 45% </t>
  </si>
  <si>
    <t xml:space="preserve">Leche Descremada en Polvo c/Lec </t>
  </si>
  <si>
    <t>Leche en Polvo c/Lec</t>
  </si>
  <si>
    <t>10</t>
  </si>
  <si>
    <t>Estandarizada</t>
  </si>
  <si>
    <t>Leche Fluida</t>
  </si>
  <si>
    <t>11</t>
  </si>
  <si>
    <t>Leche estandarizada</t>
  </si>
  <si>
    <t>12</t>
  </si>
  <si>
    <t>Cód. CeGe</t>
  </si>
  <si>
    <t>¿El producto esta definido correctamente?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</si>
</sst>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;\-#,##0.000;\-"/>
    <numFmt numFmtId="166" formatCode="#,##0.0;\-#,##0.0;\-"/>
  </numFmts>
  <fonts count="1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0"/>
      <color rgb="FF1F4E78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0" fillId="0" borderId="0" xfId="0" quotePrefix="1"/>
    <xf numFmtId="0" fontId="3" fillId="0" borderId="0" xfId="0" applyFont="1"/>
    <xf numFmtId="49" fontId="0" fillId="0" borderId="0" xfId="0" quotePrefix="1" applyNumberFormat="1"/>
    <xf numFmtId="49" fontId="0" fillId="0" borderId="0" xfId="0" applyNumberFormat="1"/>
    <xf numFmtId="0" fontId="2" fillId="0" borderId="0" xfId="0" applyFont="1"/>
    <xf numFmtId="166" fontId="7" fillId="4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8" fillId="7" borderId="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2" fillId="8" borderId="3" xfId="0" applyFont="1" applyFill="1" applyBorder="1"/>
    <xf numFmtId="0" fontId="0" fillId="0" borderId="3" xfId="0" applyBorder="1"/>
    <xf numFmtId="0" fontId="12" fillId="8" borderId="4" xfId="0" applyFont="1" applyFill="1" applyBorder="1"/>
    <xf numFmtId="0" fontId="0" fillId="0" borderId="4" xfId="0" applyBorder="1"/>
    <xf numFmtId="0" fontId="12" fillId="8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2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2</xdr:row>
      <xdr:rowOff>4763</xdr:rowOff>
    </xdr:from>
    <xdr:to>
      <xdr:col>18</xdr:col>
      <xdr:colOff>523874</xdr:colOff>
      <xdr:row>5</xdr:row>
      <xdr:rowOff>38101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0047012-CAA1-2A4A-813C-1D7464ECDA07}"/>
            </a:ext>
          </a:extLst>
        </xdr:cNvPr>
        <xdr:cNvSpPr txBox="1"/>
      </xdr:nvSpPr>
      <xdr:spPr>
        <a:xfrm>
          <a:off x="8220074" y="576263"/>
          <a:ext cx="6905625" cy="6048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b="1"/>
            <a:t>SP</a:t>
          </a:r>
          <a:r>
            <a:rPr lang="es-MX"/>
            <a:t> — aparece en Leche Entera Estándar, Leche Entera c/LdS y Leche Descremada (códigos 6008, 6009, 6010, 6011) </a:t>
          </a:r>
          <a:r>
            <a:rPr lang="es-MX" b="1"/>
            <a:t>MH</a:t>
          </a:r>
          <a:r>
            <a:rPr lang="es-MX"/>
            <a:t> — aparece junto a SP en los productos 6010 y 6011</a:t>
          </a:r>
          <a:endParaRPr lang="es-MX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José Sepúlveda" id="{4B46E02B-8F7D-4594-B8BA-EF4EC94F5690}" userId="S::jose.sepulveda@camposaustrales.cl::8954d2d3-42a2-48da-b02a-c15727b5618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70B57-9969-496E-AFA8-C37A222A3A3C}" name="Tabla1" displayName="Tabla1" ref="A1:B12" totalsRowShown="0">
  <autoFilter ref="A1:B12" xr:uid="{40570B57-9969-496E-AFA8-C37A222A3A3C}"/>
  <tableColumns count="2">
    <tableColumn id="1" xr3:uid="{A475412C-379C-46A1-91A6-EE0263E6DF43}" name="Categoría"/>
    <tableColumn id="2" xr3:uid="{7AE57298-9271-48FF-A7B0-1D54CEE3C869}" name="Código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741F5-D480-4C8E-9711-66F904581940}" name="Tabla2" displayName="Tabla2" ref="D1:E9" totalsRowShown="0">
  <autoFilter ref="D1:E9" xr:uid="{EE0741F5-D480-4C8E-9711-66F904581940}"/>
  <tableColumns count="2">
    <tableColumn id="1" xr3:uid="{DF0FCF9A-A2A9-465F-8BB6-F385740BC0B4}" name="Tipo"/>
    <tableColumn id="2" xr3:uid="{7F26E49B-1E71-4978-8925-4B76BDA18392}" name="Códig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7A2F6E-190F-4BB9-A410-92E733988528}" name="Tabla3" displayName="Tabla3" ref="G1:H4" totalsRowShown="0">
  <autoFilter ref="G1:H4" xr:uid="{3A7A2F6E-190F-4BB9-A410-92E733988528}"/>
  <tableColumns count="2">
    <tableColumn id="1" xr3:uid="{5A3D14A0-853D-441D-9E08-D664509D97EA}" name="Formato"/>
    <tableColumn id="2" xr3:uid="{DFC8843B-68BD-438E-A4BC-862A173B3910}" name="Código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C530-FC57-4ED5-8DAA-73E1079B70D8}" name="Tabla4" displayName="Tabla4" ref="M1:N3" totalsRowShown="0">
  <autoFilter ref="M1:N3" xr:uid="{C1FDC530-FC57-4ED5-8DAA-73E1079B70D8}"/>
  <tableColumns count="2">
    <tableColumn id="1" xr3:uid="{78C93339-72CF-418D-9DC4-05FACC6912EA}" name="Mercado"/>
    <tableColumn id="2" xr3:uid="{5A8F1C87-F48E-4491-941C-E252EEE9CEF0}" name="Códig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FB47C6-F7CB-4291-BE94-52CD82F8E758}" name="Tabla5" displayName="Tabla5" ref="P2:AF25" totalsRowShown="0">
  <autoFilter ref="P2:AF25" xr:uid="{35FB47C6-F7CB-4291-BE94-52CD82F8E758}"/>
  <tableColumns count="17">
    <tableColumn id="17" xr3:uid="{0D373689-BCD0-4A12-8FCB-AE0BEE4A0D45}" name="Naturaleza" dataDxfId="11"/>
    <tableColumn id="19" xr3:uid="{107CEE8B-7053-4FBA-B102-FC973196C5A1}" name="Cliente" dataDxfId="10"/>
    <tableColumn id="1" xr3:uid="{02DC7771-FABA-49B0-AAF6-CA736820BFCE}" name="Categoría" dataDxfId="9"/>
    <tableColumn id="2" xr3:uid="{F08C4CAA-60F4-4EA3-9F67-67643233D9C4}" name="Tipo" dataDxfId="8"/>
    <tableColumn id="3" xr3:uid="{D519E845-ED3A-4274-97E6-7B8A7308E408}" name="Formato" dataDxfId="7"/>
    <tableColumn id="4" xr3:uid="{22F7E1BF-F227-4099-9E00-7453C9F53B6C}" name="Peso kilos"/>
    <tableColumn id="18" xr3:uid="{4AFA896F-5EA1-40F5-94D4-ED186EB76C67}" name="Cód. Naturaleza">
      <calculatedColumnFormula>_xlfn.XLOOKUP(Tabla5[[#This Row],[Naturaleza]],Tabla37[Naturaleza],Tabla37[Código])</calculatedColumnFormula>
    </tableColumn>
    <tableColumn id="5" xr3:uid="{7B6E69D3-753D-4D49-9FDA-60F21D0A03C8}" name="Cód. Categoría" dataDxfId="6">
      <calculatedColumnFormula>_xlfn.XLOOKUP(Tabla5[[#This Row],[Categoría]],Tabla1[Categoría],Tabla1[Código],"",0,1)</calculatedColumnFormula>
    </tableColumn>
    <tableColumn id="6" xr3:uid="{2EAFD547-0265-4428-ADCE-3C44DAA74F26}" name="Cód. Tipo" dataDxfId="5">
      <calculatedColumnFormula>_xlfn.XLOOKUP(Tabla5[[#This Row],[Tipo]],Tabla2[Tipo],Tabla2[Código],"",0,1)</calculatedColumnFormula>
    </tableColumn>
    <tableColumn id="7" xr3:uid="{B5B37C5E-69FF-4A3E-8709-CC38B492A4C5}" name="Cód. Formato" dataDxfId="4">
      <calculatedColumnFormula>_xlfn.XLOOKUP(Tabla5[[#This Row],[Formato]],Tabla3[Formato],Tabla3[Código],"",0,1)</calculatedColumnFormula>
    </tableColumn>
    <tableColumn id="8" xr3:uid="{C71C77AC-D41C-49B2-B3D8-B16592D8BD5D}" name="Cód. Mercado" dataDxfId="3">
      <calculatedColumnFormula>_xlfn.XLOOKUP("Local",Tabla4[Mercado],Tabla4[Código],"",0,1)</calculatedColumnFormula>
    </tableColumn>
    <tableColumn id="20" xr3:uid="{E4BF0177-37C4-41EF-9626-5A57F98DD8FB}" name="Cód. Cliente">
      <calculatedColumnFormula>_xlfn.XLOOKUP(Tabla5[[#This Row],[Cliente]],Tabla6[Cliente],Tabla6[Código])</calculatedColumnFormula>
    </tableColumn>
    <tableColumn id="9" xr3:uid="{C5498172-54CD-448A-B546-8F87ECCAD42C}" name="SKU" dataDxfId="2">
      <calculatedColumnFormula>Tabla5[[#This Row],[Cód. Naturaleza]]&amp;Tabla5[[#This Row],[Cód. Cliente]]&amp;Tabla5[[#This Row],[Cód. Categoría]]&amp;Tabla5[[#This Row],[Cód. Tipo]]&amp;Tabla5[[#This Row],[Cód. Formato]]&amp;Tabla5[[#This Row],[Cód. Mercado]]</calculatedColumnFormula>
    </tableColumn>
    <tableColumn id="10" xr3:uid="{1F7964EB-E194-406E-993C-B403B9E6ED4D}" name="Nombre" dataDxfId="1"/>
    <tableColumn id="11" xr3:uid="{E00FB2A2-0B50-4100-B7A8-CA0BCEBC1302}" name="Cód. Patricio R."/>
    <tableColumn id="12" xr3:uid="{AC1FB4DB-6ADF-44B5-8381-7FA07189CDD2}" name="Nombre Archivo producción">
      <calculatedColumnFormula>IFERROR(IF(_xlfn.XLOOKUP(TEXT(Tabla5[[#This Row],[Cód. Patricio R.]],"0"),Diccionario!A:A,Diccionario!C:C,"",0,1)=0,"",_xlfn.XLOOKUP(TEXT(Tabla5[[#This Row],[Cód. Patricio R.]],"0"),Diccionario!A:A,Diccionario!C:C,"",0,1)),"")</calculatedColumnFormula>
    </tableColumn>
    <tableColumn id="13" xr3:uid="{FFC79EEF-12D9-47F9-930B-0EEC01A9BB5A}" name="Cód. CeGe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A9BD94-C519-428A-8CE1-1D3696F5F142}" name="Tabla37" displayName="Tabla37" ref="J1:K3" totalsRowShown="0">
  <autoFilter ref="J1:K3" xr:uid="{3FA9BD94-C519-428A-8CE1-1D3696F5F142}"/>
  <tableColumns count="2">
    <tableColumn id="1" xr3:uid="{E8C65EF9-CD38-49E0-A5F0-8078BCBBBBD4}" name="Naturaleza"/>
    <tableColumn id="2" xr3:uid="{DF17E236-0D52-4241-A7A7-7DF0EF44FFE2}" name="Código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101045-DC2A-4A07-B359-449220B3CDF4}" name="Tabla6" displayName="Tabla6" ref="M5:N9" totalsRowShown="0">
  <autoFilter ref="M5:N9" xr:uid="{85101045-DC2A-4A07-B359-449220B3CDF4}"/>
  <tableColumns count="2">
    <tableColumn id="1" xr3:uid="{B9574C6F-8700-4834-89C2-0A77ADBA633F}" name="Cliente"/>
    <tableColumn id="2" xr3:uid="{AA9DB106-C0D7-4C62-B875-04605C14454D}" name="Códi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6-05-07T15:05:18.22" personId="{4B46E02B-8F7D-4594-B8BA-EF4EC94F5690}" id="{DEF9C2AF-ACFF-49E3-9652-E745AF1A84CC}">
    <text xml:space="preserve">Incorporar los rework como productos, mantequilla también, revisar flujos de creación,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B89D34-52EA-4C7E-8C74-E27A41D0FCD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a345c84-cfb2-4299-8fa1-f3ccb276020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B4CA-4F85-4C0D-96C2-2B4A4414231E}">
  <dimension ref="A1:E17"/>
  <sheetViews>
    <sheetView tabSelected="1" workbookViewId="0"/>
  </sheetViews>
  <sheetFormatPr baseColWidth="10" defaultRowHeight="15" x14ac:dyDescent="0.25"/>
  <cols>
    <col min="1" max="1" width="21" customWidth="1"/>
    <col min="2" max="2" width="40" customWidth="1"/>
    <col min="3" max="3" width="22.85546875" customWidth="1"/>
    <col min="4" max="4" width="24.7109375" customWidth="1"/>
    <col min="5" max="5" width="39.28515625" bestFit="1" customWidth="1"/>
  </cols>
  <sheetData>
    <row r="1" spans="1:5" x14ac:dyDescent="0.25">
      <c r="A1" s="38" t="s">
        <v>90</v>
      </c>
      <c r="B1" s="38" t="s">
        <v>116</v>
      </c>
      <c r="C1" s="38" t="s">
        <v>92</v>
      </c>
      <c r="D1" s="36" t="s">
        <v>118</v>
      </c>
      <c r="E1" s="40" t="s">
        <v>147</v>
      </c>
    </row>
    <row r="2" spans="1:5" x14ac:dyDescent="0.25">
      <c r="A2" s="39" t="str" cm="1">
        <f t="array" ref="A2:D17">_xlfn._xlws.FILTER(_xlfn.HSTACK(Tabla5[SKU],Tabla5[Nombre Archivo producción],Tabla5[Naturaleza],Tabla5[Cliente]),Tabla5[Nombre Archivo producción]&lt;&gt;"")</f>
        <v>010103010101</v>
      </c>
      <c r="B2" s="39" t="str">
        <v>P. Entero ST 48%</v>
      </c>
      <c r="C2" s="39" t="str">
        <v>Servicio Terceros</v>
      </c>
      <c r="D2" s="37" t="str">
        <v>Nestlé</v>
      </c>
      <c r="E2" s="41" t="b">
        <v>0</v>
      </c>
    </row>
    <row r="3" spans="1:5" x14ac:dyDescent="0.25">
      <c r="A3" s="39" t="str">
        <v>010104010201</v>
      </c>
      <c r="B3" s="39" t="str">
        <v>LEP NESTLÉ</v>
      </c>
      <c r="C3" s="39" t="str">
        <v>Servicio Terceros</v>
      </c>
      <c r="D3" s="37" t="str">
        <v>Nestlé</v>
      </c>
      <c r="E3" s="41" t="b">
        <v>0</v>
      </c>
    </row>
    <row r="4" spans="1:5" x14ac:dyDescent="0.25">
      <c r="A4" s="39" t="str">
        <v>010210010201</v>
      </c>
      <c r="B4" s="39" t="str">
        <v>LEP COLUN</v>
      </c>
      <c r="C4" s="39" t="str">
        <v>Servicio Terceros</v>
      </c>
      <c r="D4" s="37" t="str">
        <v>Colun</v>
      </c>
      <c r="E4" s="41" t="b">
        <v>0</v>
      </c>
    </row>
    <row r="5" spans="1:5" x14ac:dyDescent="0.25">
      <c r="A5" s="39" t="str">
        <v>020003020101</v>
      </c>
      <c r="B5" s="39" t="str">
        <v xml:space="preserve">P. Descremado ST 45% </v>
      </c>
      <c r="C5" s="39" t="str">
        <v>Producto Propio</v>
      </c>
      <c r="D5" s="37" t="str">
        <v>Cliente no definido</v>
      </c>
      <c r="E5" s="41" t="b">
        <v>0</v>
      </c>
    </row>
    <row r="6" spans="1:5" x14ac:dyDescent="0.25">
      <c r="A6" s="39" t="str">
        <v>010104010101</v>
      </c>
      <c r="B6" s="39" t="str">
        <v>Crema 42% NESTLÉ</v>
      </c>
      <c r="C6" s="39" t="str">
        <v>Servicio Terceros</v>
      </c>
      <c r="D6" s="37" t="str">
        <v>Nestlé</v>
      </c>
      <c r="E6" s="41" t="b">
        <v>0</v>
      </c>
    </row>
    <row r="7" spans="1:5" x14ac:dyDescent="0.25">
      <c r="A7" s="39" t="str">
        <v>020004010101</v>
      </c>
      <c r="B7" s="39" t="str">
        <v>Crema 42% CCAA</v>
      </c>
      <c r="C7" s="39" t="str">
        <v>Producto Propio</v>
      </c>
      <c r="D7" s="37" t="str">
        <v>Cliente no definido</v>
      </c>
      <c r="E7" s="41" t="b">
        <v>0</v>
      </c>
    </row>
    <row r="8" spans="1:5" x14ac:dyDescent="0.25">
      <c r="A8" s="39" t="str">
        <v>020005050301</v>
      </c>
      <c r="B8" s="39" t="str">
        <v>Mantequilla sin Sal</v>
      </c>
      <c r="C8" s="39" t="str">
        <v>Producto Propio</v>
      </c>
      <c r="D8" s="37" t="str">
        <v>Cliente no definido</v>
      </c>
      <c r="E8" s="41" t="b">
        <v>0</v>
      </c>
    </row>
    <row r="9" spans="1:5" x14ac:dyDescent="0.25">
      <c r="A9" s="39" t="str">
        <v>010302010201</v>
      </c>
      <c r="B9" s="39" t="str">
        <v>LEP</v>
      </c>
      <c r="C9" s="39" t="str">
        <v>Servicio Terceros</v>
      </c>
      <c r="D9" s="37" t="str">
        <v>Soprole</v>
      </c>
      <c r="E9" s="41" t="b">
        <v>0</v>
      </c>
    </row>
    <row r="10" spans="1:5" x14ac:dyDescent="0.25">
      <c r="A10" s="39" t="str">
        <v>010302010201</v>
      </c>
      <c r="B10" s="39" t="str">
        <v>LEP c/Lec</v>
      </c>
      <c r="C10" s="39" t="str">
        <v>Servicio Terceros</v>
      </c>
      <c r="D10" s="37" t="str">
        <v>Soprole</v>
      </c>
      <c r="E10" s="41" t="b">
        <v>0</v>
      </c>
    </row>
    <row r="11" spans="1:5" x14ac:dyDescent="0.25">
      <c r="A11" s="39" t="str">
        <v>010302030201</v>
      </c>
      <c r="B11" s="39" t="str">
        <v>Leche Descremada en Polvo</v>
      </c>
      <c r="C11" s="39" t="str">
        <v>Servicio Terceros</v>
      </c>
      <c r="D11" s="37" t="str">
        <v>Soprole</v>
      </c>
      <c r="E11" s="41" t="b">
        <v>0</v>
      </c>
    </row>
    <row r="12" spans="1:5" x14ac:dyDescent="0.25">
      <c r="A12" s="39" t="str">
        <v>010302030201</v>
      </c>
      <c r="B12" s="39" t="str">
        <v xml:space="preserve">Leche Descremada en Polvo C/Lec </v>
      </c>
      <c r="C12" s="39" t="str">
        <v>Servicio Terceros</v>
      </c>
      <c r="D12" s="37" t="str">
        <v>Soprole</v>
      </c>
      <c r="E12" s="41" t="b">
        <v>0</v>
      </c>
    </row>
    <row r="13" spans="1:5" x14ac:dyDescent="0.25">
      <c r="A13" s="39" t="str">
        <v>010208030201</v>
      </c>
      <c r="B13" s="39" t="str">
        <v>Suero en Polvo Colun</v>
      </c>
      <c r="C13" s="39" t="str">
        <v>Servicio Terceros</v>
      </c>
      <c r="D13" s="37" t="str">
        <v>Colun</v>
      </c>
      <c r="E13" s="41" t="b">
        <v>0</v>
      </c>
    </row>
    <row r="14" spans="1:5" x14ac:dyDescent="0.25">
      <c r="A14" s="39" t="str">
        <v>020003020101</v>
      </c>
      <c r="B14" s="39" t="str">
        <v>P. Semidescremado ST 45% CCAA</v>
      </c>
      <c r="C14" s="39" t="str">
        <v>Producto Propio</v>
      </c>
      <c r="D14" s="37" t="str">
        <v>Cliente no definido</v>
      </c>
      <c r="E14" s="41" t="b">
        <v>0</v>
      </c>
    </row>
    <row r="15" spans="1:5" x14ac:dyDescent="0.25">
      <c r="A15" s="39" t="str">
        <v>010103020101</v>
      </c>
      <c r="B15" s="39" t="str">
        <v xml:space="preserve">P. Semidescremado ST 45% </v>
      </c>
      <c r="C15" s="39" t="str">
        <v>Servicio Terceros</v>
      </c>
      <c r="D15" s="37" t="str">
        <v>Nestlé</v>
      </c>
      <c r="E15" s="41" t="b">
        <v>0</v>
      </c>
    </row>
    <row r="16" spans="1:5" x14ac:dyDescent="0.25">
      <c r="A16" s="39" t="str">
        <v>010311030201</v>
      </c>
      <c r="B16" s="39" t="str">
        <v xml:space="preserve">Leche Descremada en Polvo c/Lec </v>
      </c>
      <c r="C16" s="39" t="str">
        <v>Servicio Terceros</v>
      </c>
      <c r="D16" s="37" t="str">
        <v>Soprole</v>
      </c>
      <c r="E16" s="41" t="b">
        <v>0</v>
      </c>
    </row>
    <row r="17" spans="1:5" x14ac:dyDescent="0.25">
      <c r="A17" s="39" t="str">
        <v>020012080101</v>
      </c>
      <c r="B17" s="39" t="str">
        <v>Leche estandarizada</v>
      </c>
      <c r="C17" s="39" t="str">
        <v>Producto Propio</v>
      </c>
      <c r="D17" s="37" t="str">
        <v>Cliente no definido</v>
      </c>
      <c r="E17" s="4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5772-32C9-4ED3-8126-FD61F0F93002}">
  <dimension ref="A1:AF25"/>
  <sheetViews>
    <sheetView topLeftCell="Q1" zoomScaleNormal="100" workbookViewId="0">
      <selection activeCell="AE11" sqref="AE11"/>
    </sheetView>
  </sheetViews>
  <sheetFormatPr baseColWidth="10" defaultRowHeight="15" x14ac:dyDescent="0.25"/>
  <cols>
    <col min="1" max="1" width="25.42578125" bestFit="1" customWidth="1"/>
    <col min="2" max="2" width="9.42578125" bestFit="1" customWidth="1"/>
    <col min="4" max="4" width="16.28515625" bestFit="1" customWidth="1"/>
    <col min="5" max="5" width="9.42578125" bestFit="1" customWidth="1"/>
    <col min="7" max="7" width="10.7109375" bestFit="1" customWidth="1"/>
    <col min="8" max="8" width="9.42578125" bestFit="1" customWidth="1"/>
    <col min="10" max="10" width="16.140625" bestFit="1" customWidth="1"/>
    <col min="11" max="11" width="9.42578125" bestFit="1" customWidth="1"/>
    <col min="13" max="13" width="18.28515625" bestFit="1" customWidth="1"/>
    <col min="14" max="14" width="9.42578125" bestFit="1" customWidth="1"/>
    <col min="16" max="16" width="16.140625" bestFit="1" customWidth="1"/>
    <col min="17" max="18" width="25.42578125" bestFit="1" customWidth="1"/>
    <col min="19" max="19" width="16.28515625" bestFit="1" customWidth="1"/>
    <col min="20" max="20" width="12.140625" bestFit="1" customWidth="1"/>
    <col min="21" max="21" width="11.28515625" bestFit="1" customWidth="1"/>
    <col min="22" max="25" width="10.85546875" bestFit="1" customWidth="1"/>
    <col min="26" max="26" width="13.85546875" bestFit="1" customWidth="1"/>
    <col min="27" max="27" width="44.7109375" bestFit="1" customWidth="1"/>
    <col min="28" max="28" width="15" bestFit="1" customWidth="1"/>
    <col min="29" max="29" width="44.7109375" bestFit="1" customWidth="1"/>
    <col min="31" max="31" width="31.85546875" bestFit="1" customWidth="1"/>
  </cols>
  <sheetData>
    <row r="1" spans="1:32" x14ac:dyDescent="0.25">
      <c r="A1" t="s">
        <v>87</v>
      </c>
      <c r="B1" t="s">
        <v>0</v>
      </c>
      <c r="D1" t="s">
        <v>88</v>
      </c>
      <c r="E1" t="s">
        <v>0</v>
      </c>
      <c r="G1" t="s">
        <v>70</v>
      </c>
      <c r="H1" t="s">
        <v>0</v>
      </c>
      <c r="J1" t="s">
        <v>92</v>
      </c>
      <c r="K1" t="s">
        <v>0</v>
      </c>
      <c r="M1" t="s">
        <v>102</v>
      </c>
      <c r="N1" t="s">
        <v>0</v>
      </c>
      <c r="P1" s="30" t="s">
        <v>134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 spans="1:32" x14ac:dyDescent="0.25">
      <c r="A2" t="s">
        <v>57</v>
      </c>
      <c r="B2" s="20" t="s">
        <v>63</v>
      </c>
      <c r="D2" t="s">
        <v>97</v>
      </c>
      <c r="E2" s="20" t="s">
        <v>62</v>
      </c>
      <c r="G2" t="s">
        <v>95</v>
      </c>
      <c r="H2" s="20" t="s">
        <v>62</v>
      </c>
      <c r="I2" s="20"/>
      <c r="J2" t="s">
        <v>94</v>
      </c>
      <c r="K2" s="20" t="s">
        <v>62</v>
      </c>
      <c r="M2" t="s">
        <v>103</v>
      </c>
      <c r="N2" s="20" t="s">
        <v>62</v>
      </c>
      <c r="P2" t="s">
        <v>92</v>
      </c>
      <c r="Q2" t="s">
        <v>118</v>
      </c>
      <c r="R2" t="s">
        <v>87</v>
      </c>
      <c r="S2" t="s">
        <v>88</v>
      </c>
      <c r="T2" t="s">
        <v>70</v>
      </c>
      <c r="U2" t="s">
        <v>89</v>
      </c>
      <c r="V2" t="s">
        <v>120</v>
      </c>
      <c r="W2" t="s">
        <v>121</v>
      </c>
      <c r="X2" t="s">
        <v>122</v>
      </c>
      <c r="Y2" t="s">
        <v>123</v>
      </c>
      <c r="Z2" t="s">
        <v>124</v>
      </c>
      <c r="AA2" t="s">
        <v>125</v>
      </c>
      <c r="AB2" t="s">
        <v>90</v>
      </c>
      <c r="AC2" t="s">
        <v>91</v>
      </c>
      <c r="AD2" t="s">
        <v>117</v>
      </c>
      <c r="AE2" t="s">
        <v>116</v>
      </c>
      <c r="AF2" t="s">
        <v>146</v>
      </c>
    </row>
    <row r="3" spans="1:32" x14ac:dyDescent="0.25">
      <c r="A3" t="s">
        <v>58</v>
      </c>
      <c r="B3" s="20" t="s">
        <v>64</v>
      </c>
      <c r="D3" t="s">
        <v>98</v>
      </c>
      <c r="E3" s="20" t="s">
        <v>63</v>
      </c>
      <c r="G3" t="s">
        <v>96</v>
      </c>
      <c r="H3" s="20" t="s">
        <v>63</v>
      </c>
      <c r="I3" s="20"/>
      <c r="J3" t="s">
        <v>93</v>
      </c>
      <c r="K3" s="20" t="s">
        <v>63</v>
      </c>
      <c r="M3" t="s">
        <v>104</v>
      </c>
      <c r="N3" s="20" t="s">
        <v>63</v>
      </c>
      <c r="P3" t="s">
        <v>94</v>
      </c>
      <c r="Q3" t="s">
        <v>131</v>
      </c>
      <c r="R3" t="s">
        <v>58</v>
      </c>
      <c r="S3" t="s">
        <v>97</v>
      </c>
      <c r="T3" t="s">
        <v>95</v>
      </c>
      <c r="V3" t="str">
        <f>_xlfn.XLOOKUP(Tabla5[[#This Row],[Naturaleza]],Tabla37[Naturaleza],Tabla37[Código])</f>
        <v>01</v>
      </c>
      <c r="W3" t="str">
        <f>_xlfn.XLOOKUP(Tabla5[[#This Row],[Categoría]],Tabla1[Categoría],Tabla1[Código],"",0,1)</f>
        <v>03</v>
      </c>
      <c r="X3" t="str">
        <f>_xlfn.XLOOKUP(Tabla5[[#This Row],[Tipo]],Tabla2[Tipo],Tabla2[Código],"",0,1)</f>
        <v>01</v>
      </c>
      <c r="Y3" t="str">
        <f>_xlfn.XLOOKUP(Tabla5[[#This Row],[Formato]],Tabla3[Formato],Tabla3[Código],"",0,1)</f>
        <v>01</v>
      </c>
      <c r="Z3" t="str">
        <f>_xlfn.XLOOKUP("Local",Tabla4[Mercado],Tabla4[Código],"",0,1)</f>
        <v>01</v>
      </c>
      <c r="AA3" t="str">
        <f>_xlfn.XLOOKUP(Tabla5[[#This Row],[Cliente]],Tabla6[Cliente],Tabla6[Código])</f>
        <v>01</v>
      </c>
      <c r="AB3" t="str">
        <f>Tabla5[[#This Row],[Cód. Naturaleza]]&amp;Tabla5[[#This Row],[Cód. Cliente]]&amp;Tabla5[[#This Row],[Cód. Categoría]]&amp;Tabla5[[#This Row],[Cód. Tipo]]&amp;Tabla5[[#This Row],[Cód. Formato]]&amp;Tabla5[[#This Row],[Cód. Mercado]]</f>
        <v>010103010101</v>
      </c>
      <c r="AC3" t="s">
        <v>6</v>
      </c>
      <c r="AD3">
        <v>5001</v>
      </c>
      <c r="AE3" t="str">
        <f>IFERROR(IF(_xlfn.XLOOKUP(TEXT(Tabla5[[#This Row],[Cód. Patricio R.]],"0"),Diccionario!A:A,Diccionario!C:C,"",0,1)=0,"",_xlfn.XLOOKUP(TEXT(Tabla5[[#This Row],[Cód. Patricio R.]],"0"),Diccionario!A:A,Diccionario!C:C,"",0,1)),"")</f>
        <v>P. Entero ST 48%</v>
      </c>
      <c r="AF3">
        <v>101</v>
      </c>
    </row>
    <row r="4" spans="1:32" x14ac:dyDescent="0.25">
      <c r="A4" t="s">
        <v>59</v>
      </c>
      <c r="B4" s="20" t="s">
        <v>65</v>
      </c>
      <c r="D4" t="s">
        <v>99</v>
      </c>
      <c r="E4" s="20" t="s">
        <v>64</v>
      </c>
      <c r="G4" t="s">
        <v>109</v>
      </c>
      <c r="H4" s="22" t="s">
        <v>64</v>
      </c>
      <c r="I4" s="20"/>
      <c r="P4" t="s">
        <v>94</v>
      </c>
      <c r="Q4" t="s">
        <v>131</v>
      </c>
      <c r="R4" t="s">
        <v>59</v>
      </c>
      <c r="S4" t="s">
        <v>97</v>
      </c>
      <c r="T4" t="s">
        <v>96</v>
      </c>
      <c r="U4">
        <v>25</v>
      </c>
      <c r="V4" t="str">
        <f>_xlfn.XLOOKUP(Tabla5[[#This Row],[Naturaleza]],Tabla37[Naturaleza],Tabla37[Código])</f>
        <v>01</v>
      </c>
      <c r="W4" t="str">
        <f>_xlfn.XLOOKUP(Tabla5[[#This Row],[Categoría]],Tabla1[Categoría],Tabla1[Código],"",0,1)</f>
        <v>04</v>
      </c>
      <c r="X4" t="str">
        <f>_xlfn.XLOOKUP(Tabla5[[#This Row],[Tipo]],Tabla2[Tipo],Tabla2[Código],"",0,1)</f>
        <v>01</v>
      </c>
      <c r="Y4" t="str">
        <f>_xlfn.XLOOKUP(Tabla5[[#This Row],[Formato]],Tabla3[Formato],Tabla3[Código],"",0,1)</f>
        <v>02</v>
      </c>
      <c r="Z4" t="str">
        <f>_xlfn.XLOOKUP("Local",Tabla4[Mercado],Tabla4[Código],"",0,1)</f>
        <v>01</v>
      </c>
      <c r="AA4" t="str">
        <f>_xlfn.XLOOKUP(Tabla5[[#This Row],[Cliente]],Tabla6[Cliente],Tabla6[Código])</f>
        <v>01</v>
      </c>
      <c r="AB4" t="str">
        <f>Tabla5[[#This Row],[Cód. Naturaleza]]&amp;Tabla5[[#This Row],[Cód. Cliente]]&amp;Tabla5[[#This Row],[Cód. Categoría]]&amp;Tabla5[[#This Row],[Cód. Tipo]]&amp;Tabla5[[#This Row],[Cód. Formato]]&amp;Tabla5[[#This Row],[Cód. Mercado]]</f>
        <v>010104010201</v>
      </c>
      <c r="AC4" t="s">
        <v>11</v>
      </c>
      <c r="AD4">
        <v>5002</v>
      </c>
      <c r="AE4" t="str">
        <f>IFERROR(IF(_xlfn.XLOOKUP(TEXT(Tabla5[[#This Row],[Cód. Patricio R.]],"0"),Diccionario!A:A,Diccionario!C:C,"",0,1)=0,"",_xlfn.XLOOKUP(TEXT(Tabla5[[#This Row],[Cód. Patricio R.]],"0"),Diccionario!A:A,Diccionario!C:C,"",0,1)),"")</f>
        <v>LEP NESTLÉ</v>
      </c>
      <c r="AF4">
        <v>102</v>
      </c>
    </row>
    <row r="5" spans="1:32" x14ac:dyDescent="0.25">
      <c r="A5" t="s">
        <v>60</v>
      </c>
      <c r="B5" s="20" t="s">
        <v>66</v>
      </c>
      <c r="D5" t="s">
        <v>100</v>
      </c>
      <c r="E5" s="20" t="s">
        <v>65</v>
      </c>
      <c r="I5" s="20"/>
      <c r="M5" t="s">
        <v>118</v>
      </c>
      <c r="N5" t="s">
        <v>0</v>
      </c>
      <c r="P5" t="s">
        <v>94</v>
      </c>
      <c r="Q5" t="s">
        <v>132</v>
      </c>
      <c r="R5" t="s">
        <v>110</v>
      </c>
      <c r="S5" t="s">
        <v>97</v>
      </c>
      <c r="T5" t="s">
        <v>96</v>
      </c>
      <c r="U5">
        <v>25</v>
      </c>
      <c r="V5" t="str">
        <f>_xlfn.XLOOKUP(Tabla5[[#This Row],[Naturaleza]],Tabla37[Naturaleza],Tabla37[Código])</f>
        <v>01</v>
      </c>
      <c r="W5" t="str">
        <f>_xlfn.XLOOKUP(Tabla5[[#This Row],[Categoría]],Tabla1[Categoría],Tabla1[Código],"",0,1)</f>
        <v>10</v>
      </c>
      <c r="X5" t="str">
        <f>_xlfn.XLOOKUP(Tabla5[[#This Row],[Tipo]],Tabla2[Tipo],Tabla2[Código],"",0,1)</f>
        <v>01</v>
      </c>
      <c r="Y5" t="str">
        <f>_xlfn.XLOOKUP(Tabla5[[#This Row],[Formato]],Tabla3[Formato],Tabla3[Código],"",0,1)</f>
        <v>02</v>
      </c>
      <c r="Z5" t="str">
        <f>_xlfn.XLOOKUP("Local",Tabla4[Mercado],Tabla4[Código],"",0,1)</f>
        <v>01</v>
      </c>
      <c r="AA5" t="str">
        <f>_xlfn.XLOOKUP(Tabla5[[#This Row],[Cliente]],Tabla6[Cliente],Tabla6[Código])</f>
        <v>02</v>
      </c>
      <c r="AB5" t="str">
        <f>Tabla5[[#This Row],[Cód. Naturaleza]]&amp;Tabla5[[#This Row],[Cód. Cliente]]&amp;Tabla5[[#This Row],[Cód. Categoría]]&amp;Tabla5[[#This Row],[Cód. Tipo]]&amp;Tabla5[[#This Row],[Cód. Formato]]&amp;Tabla5[[#This Row],[Cód. Mercado]]</f>
        <v>010210010201</v>
      </c>
      <c r="AC5" t="s">
        <v>16</v>
      </c>
      <c r="AD5">
        <v>5003</v>
      </c>
      <c r="AE5" t="str">
        <f>IFERROR(IF(_xlfn.XLOOKUP(TEXT(Tabla5[[#This Row],[Cód. Patricio R.]],"0"),Diccionario!A:A,Diccionario!C:C,"",0,1)=0,"",_xlfn.XLOOKUP(TEXT(Tabla5[[#This Row],[Cód. Patricio R.]],"0"),Diccionario!A:A,Diccionario!C:C,"",0,1)),"")</f>
        <v>LEP COLUN</v>
      </c>
      <c r="AF5">
        <v>103</v>
      </c>
    </row>
    <row r="6" spans="1:32" x14ac:dyDescent="0.25">
      <c r="A6" t="s">
        <v>61</v>
      </c>
      <c r="B6" s="20" t="s">
        <v>72</v>
      </c>
      <c r="D6" t="s">
        <v>101</v>
      </c>
      <c r="E6" s="20" t="s">
        <v>66</v>
      </c>
      <c r="M6" t="s">
        <v>126</v>
      </c>
      <c r="N6" s="23" t="s">
        <v>119</v>
      </c>
      <c r="P6" t="s">
        <v>93</v>
      </c>
      <c r="Q6" t="s">
        <v>126</v>
      </c>
      <c r="R6" t="s">
        <v>58</v>
      </c>
      <c r="S6" t="s">
        <v>98</v>
      </c>
      <c r="T6" t="s">
        <v>95</v>
      </c>
      <c r="V6" t="str">
        <f>_xlfn.XLOOKUP(Tabla5[[#This Row],[Naturaleza]],Tabla37[Naturaleza],Tabla37[Código])</f>
        <v>02</v>
      </c>
      <c r="W6" t="str">
        <f>_xlfn.XLOOKUP(Tabla5[[#This Row],[Categoría]],Tabla1[Categoría],Tabla1[Código],"",0,1)</f>
        <v>03</v>
      </c>
      <c r="X6" t="str">
        <f>_xlfn.XLOOKUP(Tabla5[[#This Row],[Tipo]],Tabla2[Tipo],Tabla2[Código],"",0,1)</f>
        <v>02</v>
      </c>
      <c r="Y6" t="str">
        <f>_xlfn.XLOOKUP(Tabla5[[#This Row],[Formato]],Tabla3[Formato],Tabla3[Código],"",0,1)</f>
        <v>01</v>
      </c>
      <c r="Z6" t="str">
        <f>_xlfn.XLOOKUP("Local",Tabla4[Mercado],Tabla4[Código],"",0,1)</f>
        <v>01</v>
      </c>
      <c r="AA6" t="str">
        <f>_xlfn.XLOOKUP(Tabla5[[#This Row],[Cliente]],Tabla6[Cliente],Tabla6[Código])</f>
        <v>00</v>
      </c>
      <c r="AB6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020003020101</v>
      </c>
      <c r="AC6" t="s">
        <v>19</v>
      </c>
      <c r="AD6">
        <v>5004</v>
      </c>
      <c r="AE6" t="str">
        <f>IFERROR(IF(_xlfn.XLOOKUP(TEXT(Tabla5[[#This Row],[Cód. Patricio R.]],"0"),Diccionario!A:A,Diccionario!C:C,"",0,1)=0,"",_xlfn.XLOOKUP(TEXT(Tabla5[[#This Row],[Cód. Patricio R.]],"0"),Diccionario!A:A,Diccionario!C:C,"",0,1)),"")</f>
        <v xml:space="preserve">P. Descremado ST 45% </v>
      </c>
      <c r="AF6">
        <v>104</v>
      </c>
    </row>
    <row r="7" spans="1:32" x14ac:dyDescent="0.25">
      <c r="A7" t="s">
        <v>71</v>
      </c>
      <c r="B7" s="20" t="s">
        <v>107</v>
      </c>
      <c r="D7" t="s">
        <v>128</v>
      </c>
      <c r="E7" s="20" t="s">
        <v>72</v>
      </c>
      <c r="M7" t="s">
        <v>131</v>
      </c>
      <c r="N7" s="23" t="s">
        <v>62</v>
      </c>
      <c r="P7" t="s">
        <v>94</v>
      </c>
      <c r="Q7" t="s">
        <v>131</v>
      </c>
      <c r="R7" t="s">
        <v>59</v>
      </c>
      <c r="S7" t="s">
        <v>97</v>
      </c>
      <c r="T7" t="s">
        <v>95</v>
      </c>
      <c r="V7" t="str">
        <f>_xlfn.XLOOKUP(Tabla5[[#This Row],[Naturaleza]],Tabla37[Naturaleza],Tabla37[Código])</f>
        <v>01</v>
      </c>
      <c r="W7" t="str">
        <f>_xlfn.XLOOKUP(Tabla5[[#This Row],[Categoría]],Tabla1[Categoría],Tabla1[Código],"",0,1)</f>
        <v>04</v>
      </c>
      <c r="X7" t="str">
        <f>_xlfn.XLOOKUP(Tabla5[[#This Row],[Tipo]],Tabla2[Tipo],Tabla2[Código],"",0,1)</f>
        <v>01</v>
      </c>
      <c r="Y7" t="str">
        <f>_xlfn.XLOOKUP(Tabla5[[#This Row],[Formato]],Tabla3[Formato],Tabla3[Código],"",0,1)</f>
        <v>01</v>
      </c>
      <c r="Z7" t="str">
        <f>_xlfn.XLOOKUP("Local",Tabla4[Mercado],Tabla4[Código],"",0,1)</f>
        <v>01</v>
      </c>
      <c r="AA7" t="str">
        <f>_xlfn.XLOOKUP(Tabla5[[#This Row],[Cliente]],Tabla6[Cliente],Tabla6[Código])</f>
        <v>01</v>
      </c>
      <c r="AB7" t="str">
        <f>Tabla5[[#This Row],[Cód. Naturaleza]]&amp;Tabla5[[#This Row],[Cód. Cliente]]&amp;Tabla5[[#This Row],[Cód. Categoría]]&amp;Tabla5[[#This Row],[Cód. Tipo]]&amp;Tabla5[[#This Row],[Cód. Formato]]&amp;Tabla5[[#This Row],[Cód. Mercado]]</f>
        <v>010104010101</v>
      </c>
      <c r="AC7" t="s">
        <v>21</v>
      </c>
      <c r="AD7">
        <v>5005</v>
      </c>
      <c r="AE7" t="str">
        <f>IFERROR(IF(_xlfn.XLOOKUP(TEXT(Tabla5[[#This Row],[Cód. Patricio R.]],"0"),Diccionario!A:A,Diccionario!C:C,"",0,1)=0,"",_xlfn.XLOOKUP(TEXT(Tabla5[[#This Row],[Cód. Patricio R.]],"0"),Diccionario!A:A,Diccionario!C:C,"",0,1)),"")</f>
        <v>Crema 42% NESTLÉ</v>
      </c>
      <c r="AF7">
        <v>105</v>
      </c>
    </row>
    <row r="8" spans="1:32" x14ac:dyDescent="0.25">
      <c r="A8" t="s">
        <v>105</v>
      </c>
      <c r="B8" s="20" t="s">
        <v>108</v>
      </c>
      <c r="D8" t="s">
        <v>129</v>
      </c>
      <c r="E8" s="20" t="s">
        <v>107</v>
      </c>
      <c r="M8" t="s">
        <v>132</v>
      </c>
      <c r="N8" s="23" t="s">
        <v>63</v>
      </c>
      <c r="P8" t="s">
        <v>93</v>
      </c>
      <c r="Q8" t="s">
        <v>126</v>
      </c>
      <c r="R8" s="21" t="s">
        <v>59</v>
      </c>
      <c r="S8" s="21" t="s">
        <v>97</v>
      </c>
      <c r="T8" s="21" t="s">
        <v>95</v>
      </c>
      <c r="V8" t="str">
        <f>_xlfn.XLOOKUP(Tabla5[[#This Row],[Naturaleza]],Tabla37[Naturaleza],Tabla37[Código])</f>
        <v>02</v>
      </c>
      <c r="W8" t="str">
        <f>_xlfn.XLOOKUP(Tabla5[[#This Row],[Categoría]],Tabla1[Categoría],Tabla1[Código],"",0,1)</f>
        <v>04</v>
      </c>
      <c r="X8" t="str">
        <f>_xlfn.XLOOKUP(Tabla5[[#This Row],[Tipo]],Tabla2[Tipo],Tabla2[Código],"",0,1)</f>
        <v>01</v>
      </c>
      <c r="Y8" t="str">
        <f>_xlfn.XLOOKUP(Tabla5[[#This Row],[Formato]],Tabla3[Formato],Tabla3[Código],"",0,1)</f>
        <v>01</v>
      </c>
      <c r="Z8" t="str">
        <f>_xlfn.XLOOKUP("Local",Tabla4[Mercado],Tabla4[Código],"",0,1)</f>
        <v>01</v>
      </c>
      <c r="AA8" t="str">
        <f>_xlfn.XLOOKUP(Tabla5[[#This Row],[Cliente]],Tabla6[Cliente],Tabla6[Código])</f>
        <v>00</v>
      </c>
      <c r="AB8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020004010101</v>
      </c>
      <c r="AC8" t="s">
        <v>23</v>
      </c>
      <c r="AD8">
        <v>5006</v>
      </c>
      <c r="AE8" t="str">
        <f>IFERROR(IF(_xlfn.XLOOKUP(TEXT(Tabla5[[#This Row],[Cód. Patricio R.]],"0"),Diccionario!A:A,Diccionario!C:C,"",0,1)=0,"",_xlfn.XLOOKUP(TEXT(Tabla5[[#This Row],[Cód. Patricio R.]],"0"),Diccionario!A:A,Diccionario!C:C,"",0,1)),"")</f>
        <v>Crema 42% CCAA</v>
      </c>
      <c r="AF8">
        <v>106</v>
      </c>
    </row>
    <row r="9" spans="1:32" x14ac:dyDescent="0.25">
      <c r="A9" t="s">
        <v>106</v>
      </c>
      <c r="B9" s="20" t="s">
        <v>111</v>
      </c>
      <c r="D9" t="s">
        <v>141</v>
      </c>
      <c r="E9" s="20" t="s">
        <v>108</v>
      </c>
      <c r="M9" t="s">
        <v>133</v>
      </c>
      <c r="N9" s="23" t="s">
        <v>64</v>
      </c>
      <c r="P9" t="s">
        <v>93</v>
      </c>
      <c r="Q9" t="s">
        <v>126</v>
      </c>
      <c r="R9" s="21" t="s">
        <v>60</v>
      </c>
      <c r="S9" s="21" t="s">
        <v>101</v>
      </c>
      <c r="T9" s="21" t="s">
        <v>109</v>
      </c>
      <c r="U9">
        <v>20</v>
      </c>
      <c r="V9" t="str">
        <f>_xlfn.XLOOKUP(Tabla5[[#This Row],[Naturaleza]],Tabla37[Naturaleza],Tabla37[Código])</f>
        <v>02</v>
      </c>
      <c r="W9" t="str">
        <f>_xlfn.XLOOKUP(Tabla5[[#This Row],[Categoría]],Tabla1[Categoría],Tabla1[Código],"",0,1)</f>
        <v>05</v>
      </c>
      <c r="X9" t="str">
        <f>_xlfn.XLOOKUP(Tabla5[[#This Row],[Tipo]],Tabla2[Tipo],Tabla2[Código],"",0,1)</f>
        <v>05</v>
      </c>
      <c r="Y9" t="str">
        <f>_xlfn.XLOOKUP(Tabla5[[#This Row],[Formato]],Tabla3[Formato],Tabla3[Código],"",0,1)</f>
        <v>03</v>
      </c>
      <c r="Z9" t="str">
        <f>_xlfn.XLOOKUP("Local",Tabla4[Mercado],Tabla4[Código],"",0,1)</f>
        <v>01</v>
      </c>
      <c r="AA9" t="str">
        <f>_xlfn.XLOOKUP(Tabla5[[#This Row],[Cliente]],Tabla6[Cliente],Tabla6[Código])</f>
        <v>00</v>
      </c>
      <c r="AB9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020005050301</v>
      </c>
      <c r="AC9" t="s">
        <v>25</v>
      </c>
      <c r="AD9">
        <v>6007</v>
      </c>
      <c r="AE9" t="str">
        <f>IFERROR(IF(_xlfn.XLOOKUP(TEXT(Tabla5[[#This Row],[Cód. Patricio R.]],"0"),Diccionario!A:A,Diccionario!C:C,"",0,1)=0,"",_xlfn.XLOOKUP(TEXT(Tabla5[[#This Row],[Cód. Patricio R.]],"0"),Diccionario!A:A,Diccionario!C:C,"",0,1)),"")</f>
        <v>Mantequilla sin Sal</v>
      </c>
      <c r="AF9">
        <v>107</v>
      </c>
    </row>
    <row r="10" spans="1:32" x14ac:dyDescent="0.25">
      <c r="A10" t="s">
        <v>110</v>
      </c>
      <c r="B10" s="20" t="s">
        <v>140</v>
      </c>
      <c r="P10" t="s">
        <v>94</v>
      </c>
      <c r="Q10" t="s">
        <v>133</v>
      </c>
      <c r="R10" s="21" t="s">
        <v>57</v>
      </c>
      <c r="S10" s="21" t="s">
        <v>97</v>
      </c>
      <c r="T10" s="21" t="s">
        <v>96</v>
      </c>
      <c r="U10">
        <v>25</v>
      </c>
      <c r="V10" t="str">
        <f>_xlfn.XLOOKUP(Tabla5[[#This Row],[Naturaleza]],Tabla37[Naturaleza],Tabla37[Código])</f>
        <v>01</v>
      </c>
      <c r="W10" t="str">
        <f>_xlfn.XLOOKUP(Tabla5[[#This Row],[Categoría]],Tabla1[Categoría],Tabla1[Código],"",0,1)</f>
        <v>02</v>
      </c>
      <c r="X10" t="str">
        <f>_xlfn.XLOOKUP(Tabla5[[#This Row],[Tipo]],Tabla2[Tipo],Tabla2[Código],"",0,1)</f>
        <v>01</v>
      </c>
      <c r="Y10" t="str">
        <f>_xlfn.XLOOKUP(Tabla5[[#This Row],[Formato]],Tabla3[Formato],Tabla3[Código],"",0,1)</f>
        <v>02</v>
      </c>
      <c r="Z10" t="str">
        <f>_xlfn.XLOOKUP("Local",Tabla4[Mercado],Tabla4[Código],"",0,1)</f>
        <v>01</v>
      </c>
      <c r="AA10" t="str">
        <f>_xlfn.XLOOKUP(Tabla5[[#This Row],[Cliente]],Tabla6[Cliente],Tabla6[Código])</f>
        <v>03</v>
      </c>
      <c r="AB10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010302010201</v>
      </c>
      <c r="AC10" t="s">
        <v>29</v>
      </c>
      <c r="AD10">
        <v>6008</v>
      </c>
      <c r="AE10" t="str">
        <f>IFERROR(IF(_xlfn.XLOOKUP(TEXT(Tabla5[[#This Row],[Cód. Patricio R.]],"0"),Diccionario!A:A,Diccionario!C:C,"",0,1)=0,"",_xlfn.XLOOKUP(TEXT(Tabla5[[#This Row],[Cód. Patricio R.]],"0"),Diccionario!A:A,Diccionario!C:C,"",0,1)),"")</f>
        <v>LEP</v>
      </c>
      <c r="AF10">
        <v>108</v>
      </c>
    </row>
    <row r="11" spans="1:32" x14ac:dyDescent="0.25">
      <c r="A11" t="s">
        <v>139</v>
      </c>
      <c r="B11" s="20" t="s">
        <v>143</v>
      </c>
      <c r="P11" t="s">
        <v>94</v>
      </c>
      <c r="Q11" t="s">
        <v>133</v>
      </c>
      <c r="R11" s="21" t="s">
        <v>57</v>
      </c>
      <c r="S11" s="21" t="s">
        <v>97</v>
      </c>
      <c r="T11" s="21" t="s">
        <v>96</v>
      </c>
      <c r="U11">
        <v>25</v>
      </c>
      <c r="V11" t="str">
        <f>_xlfn.XLOOKUP(Tabla5[[#This Row],[Naturaleza]],Tabla37[Naturaleza],Tabla37[Código])</f>
        <v>01</v>
      </c>
      <c r="W11" t="str">
        <f>_xlfn.XLOOKUP(Tabla5[[#This Row],[Categoría]],Tabla1[Categoría],Tabla1[Código],"",0,1)</f>
        <v>02</v>
      </c>
      <c r="X11" t="str">
        <f>_xlfn.XLOOKUP(Tabla5[[#This Row],[Tipo]],Tabla2[Tipo],Tabla2[Código],"",0,1)</f>
        <v>01</v>
      </c>
      <c r="Y11" t="str">
        <f>_xlfn.XLOOKUP(Tabla5[[#This Row],[Formato]],Tabla3[Formato],Tabla3[Código],"",0,1)</f>
        <v>02</v>
      </c>
      <c r="Z11" t="str">
        <f>_xlfn.XLOOKUP("Local",Tabla4[Mercado],Tabla4[Código],"",0,1)</f>
        <v>01</v>
      </c>
      <c r="AA11" t="str">
        <f>_xlfn.XLOOKUP(Tabla5[[#This Row],[Cliente]],Tabla6[Cliente],Tabla6[Código])</f>
        <v>03</v>
      </c>
      <c r="AB11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010302010201</v>
      </c>
      <c r="AC11" t="s">
        <v>31</v>
      </c>
      <c r="AD11">
        <v>6009</v>
      </c>
      <c r="AE11" t="str">
        <f>IFERROR(IF(_xlfn.XLOOKUP(TEXT(Tabla5[[#This Row],[Cód. Patricio R.]],"0"),Diccionario!A:A,Diccionario!C:C,"",0,1)=0,"",_xlfn.XLOOKUP(TEXT(Tabla5[[#This Row],[Cód. Patricio R.]],"0"),Diccionario!A:A,Diccionario!C:C,"",0,1)),"")</f>
        <v>LEP c/Lec</v>
      </c>
      <c r="AF11">
        <v>109</v>
      </c>
    </row>
    <row r="12" spans="1:32" x14ac:dyDescent="0.25">
      <c r="A12" t="s">
        <v>142</v>
      </c>
      <c r="B12" s="20" t="s">
        <v>145</v>
      </c>
      <c r="P12" t="s">
        <v>94</v>
      </c>
      <c r="Q12" t="s">
        <v>133</v>
      </c>
      <c r="R12" s="21" t="s">
        <v>57</v>
      </c>
      <c r="S12" s="21" t="s">
        <v>99</v>
      </c>
      <c r="T12" s="21" t="s">
        <v>96</v>
      </c>
      <c r="U12">
        <v>25</v>
      </c>
      <c r="V12" t="str">
        <f>_xlfn.XLOOKUP(Tabla5[[#This Row],[Naturaleza]],Tabla37[Naturaleza],Tabla37[Código])</f>
        <v>01</v>
      </c>
      <c r="W12" t="str">
        <f>_xlfn.XLOOKUP(Tabla5[[#This Row],[Categoría]],Tabla1[Categoría],Tabla1[Código],"",0,1)</f>
        <v>02</v>
      </c>
      <c r="X12" t="str">
        <f>_xlfn.XLOOKUP(Tabla5[[#This Row],[Tipo]],Tabla2[Tipo],Tabla2[Código],"",0,1)</f>
        <v>03</v>
      </c>
      <c r="Y12" t="str">
        <f>_xlfn.XLOOKUP(Tabla5[[#This Row],[Formato]],Tabla3[Formato],Tabla3[Código],"",0,1)</f>
        <v>02</v>
      </c>
      <c r="Z12" t="str">
        <f>_xlfn.XLOOKUP("Local",Tabla4[Mercado],Tabla4[Código],"",0,1)</f>
        <v>01</v>
      </c>
      <c r="AA12" t="str">
        <f>_xlfn.XLOOKUP(Tabla5[[#This Row],[Cliente]],Tabla6[Cliente],Tabla6[Código])</f>
        <v>03</v>
      </c>
      <c r="AB12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010302030201</v>
      </c>
      <c r="AC12" t="s">
        <v>33</v>
      </c>
      <c r="AD12">
        <v>6010</v>
      </c>
      <c r="AE12" t="str">
        <f>IFERROR(IF(_xlfn.XLOOKUP(TEXT(Tabla5[[#This Row],[Cód. Patricio R.]],"0"),Diccionario!A:A,Diccionario!C:C,"",0,1)=0,"",_xlfn.XLOOKUP(TEXT(Tabla5[[#This Row],[Cód. Patricio R.]],"0"),Diccionario!A:A,Diccionario!C:C,"",0,1)),"")</f>
        <v>Leche Descremada en Polvo</v>
      </c>
      <c r="AF12">
        <v>110</v>
      </c>
    </row>
    <row r="13" spans="1:32" x14ac:dyDescent="0.25">
      <c r="P13" t="s">
        <v>94</v>
      </c>
      <c r="Q13" t="s">
        <v>133</v>
      </c>
      <c r="R13" s="21" t="s">
        <v>57</v>
      </c>
      <c r="S13" s="21" t="s">
        <v>99</v>
      </c>
      <c r="T13" s="21" t="s">
        <v>96</v>
      </c>
      <c r="U13">
        <v>25</v>
      </c>
      <c r="V13" t="str">
        <f>_xlfn.XLOOKUP(Tabla5[[#This Row],[Naturaleza]],Tabla37[Naturaleza],Tabla37[Código])</f>
        <v>01</v>
      </c>
      <c r="W13" t="str">
        <f>_xlfn.XLOOKUP(Tabla5[[#This Row],[Categoría]],Tabla1[Categoría],Tabla1[Código],"",0,1)</f>
        <v>02</v>
      </c>
      <c r="X13" t="str">
        <f>_xlfn.XLOOKUP(Tabla5[[#This Row],[Tipo]],Tabla2[Tipo],Tabla2[Código],"",0,1)</f>
        <v>03</v>
      </c>
      <c r="Y13" t="str">
        <f>_xlfn.XLOOKUP(Tabla5[[#This Row],[Formato]],Tabla3[Formato],Tabla3[Código],"",0,1)</f>
        <v>02</v>
      </c>
      <c r="Z13" t="str">
        <f>_xlfn.XLOOKUP("Local",Tabla4[Mercado],Tabla4[Código],"",0,1)</f>
        <v>01</v>
      </c>
      <c r="AA13" t="str">
        <f>_xlfn.XLOOKUP(Tabla5[[#This Row],[Cliente]],Tabla6[Cliente],Tabla6[Código])</f>
        <v>03</v>
      </c>
      <c r="AB13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010302030201</v>
      </c>
      <c r="AC13" t="s">
        <v>35</v>
      </c>
      <c r="AD13">
        <v>6011</v>
      </c>
      <c r="AE13" t="str">
        <f>IFERROR(IF(_xlfn.XLOOKUP(TEXT(Tabla5[[#This Row],[Cód. Patricio R.]],"0"),Diccionario!A:A,Diccionario!C:C,"",0,1)=0,"",_xlfn.XLOOKUP(TEXT(Tabla5[[#This Row],[Cód. Patricio R.]],"0"),Diccionario!A:A,Diccionario!C:C,"",0,1)),"")</f>
        <v xml:space="preserve">Leche Descremada en Polvo C/Lec </v>
      </c>
      <c r="AF13">
        <v>111</v>
      </c>
    </row>
    <row r="14" spans="1:32" x14ac:dyDescent="0.25">
      <c r="P14" t="s">
        <v>93</v>
      </c>
      <c r="Q14" t="s">
        <v>126</v>
      </c>
      <c r="R14" s="21" t="s">
        <v>60</v>
      </c>
      <c r="S14" s="21" t="s">
        <v>100</v>
      </c>
      <c r="T14" s="21" t="s">
        <v>109</v>
      </c>
      <c r="U14">
        <v>20</v>
      </c>
      <c r="V14" t="str">
        <f>_xlfn.XLOOKUP(Tabla5[[#This Row],[Naturaleza]],Tabla37[Naturaleza],Tabla37[Código])</f>
        <v>02</v>
      </c>
      <c r="W14" t="str">
        <f>_xlfn.XLOOKUP(Tabla5[[#This Row],[Categoría]],Tabla1[Categoría],Tabla1[Código],"",0,1)</f>
        <v>05</v>
      </c>
      <c r="X14" t="str">
        <f>_xlfn.XLOOKUP(Tabla5[[#This Row],[Tipo]],Tabla2[Tipo],Tabla2[Código],"",0,1)</f>
        <v>04</v>
      </c>
      <c r="Y14" t="str">
        <f>_xlfn.XLOOKUP(Tabla5[[#This Row],[Formato]],Tabla3[Formato],Tabla3[Código],"",0,1)</f>
        <v>03</v>
      </c>
      <c r="Z14" t="str">
        <f>_xlfn.XLOOKUP("Local",Tabla4[Mercado],Tabla4[Código],"",0,1)</f>
        <v>01</v>
      </c>
      <c r="AA14" t="str">
        <f>_xlfn.XLOOKUP(Tabla5[[#This Row],[Cliente]],Tabla6[Cliente],Tabla6[Código])</f>
        <v>00</v>
      </c>
      <c r="AB14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020005040301</v>
      </c>
      <c r="AC14" t="s">
        <v>37</v>
      </c>
      <c r="AD14">
        <v>6012</v>
      </c>
      <c r="AE14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14">
        <v>112</v>
      </c>
    </row>
    <row r="15" spans="1:32" x14ac:dyDescent="0.25">
      <c r="P15" t="s">
        <v>94</v>
      </c>
      <c r="Q15" t="s">
        <v>132</v>
      </c>
      <c r="R15" s="21" t="s">
        <v>105</v>
      </c>
      <c r="S15" s="21" t="s">
        <v>99</v>
      </c>
      <c r="T15" s="21" t="s">
        <v>96</v>
      </c>
      <c r="U15">
        <v>25</v>
      </c>
      <c r="V15" t="str">
        <f>_xlfn.XLOOKUP(Tabla5[[#This Row],[Naturaleza]],Tabla37[Naturaleza],Tabla37[Código])</f>
        <v>01</v>
      </c>
      <c r="W15" t="str">
        <f>_xlfn.XLOOKUP(Tabla5[[#This Row],[Categoría]],Tabla1[Categoría],Tabla1[Código],"",0,1)</f>
        <v>08</v>
      </c>
      <c r="X15" t="str">
        <f>_xlfn.XLOOKUP(Tabla5[[#This Row],[Tipo]],Tabla2[Tipo],Tabla2[Código],"",0,1)</f>
        <v>03</v>
      </c>
      <c r="Y15" t="str">
        <f>_xlfn.XLOOKUP(Tabla5[[#This Row],[Formato]],Tabla3[Formato],Tabla3[Código],"",0,1)</f>
        <v>02</v>
      </c>
      <c r="Z15" t="str">
        <f>_xlfn.XLOOKUP("Local",Tabla4[Mercado],Tabla4[Código],"",0,1)</f>
        <v>01</v>
      </c>
      <c r="AA15" t="str">
        <f>_xlfn.XLOOKUP(Tabla5[[#This Row],[Cliente]],Tabla6[Cliente],Tabla6[Código])</f>
        <v>02</v>
      </c>
      <c r="AB15" t="str">
        <f>Tabla5[[#This Row],[Cód. Naturaleza]]&amp;Tabla5[[#This Row],[Cód. Cliente]]&amp;Tabla5[[#This Row],[Cód. Categoría]]&amp;Tabla5[[#This Row],[Cód. Tipo]]&amp;Tabla5[[#This Row],[Cód. Formato]]&amp;Tabla5[[#This Row],[Cód. Mercado]]</f>
        <v>010208030201</v>
      </c>
      <c r="AC15" t="s">
        <v>40</v>
      </c>
      <c r="AD15">
        <v>6013</v>
      </c>
      <c r="AE15" t="str">
        <f>IFERROR(IF(_xlfn.XLOOKUP(TEXT(Tabla5[[#This Row],[Cód. Patricio R.]],"0"),Diccionario!A:A,Diccionario!C:C,"",0,1)=0,"",_xlfn.XLOOKUP(TEXT(Tabla5[[#This Row],[Cód. Patricio R.]],"0"),Diccionario!A:A,Diccionario!C:C,"",0,1)),"")</f>
        <v>Suero en Polvo Colun</v>
      </c>
      <c r="AF15">
        <v>113</v>
      </c>
    </row>
    <row r="16" spans="1:32" x14ac:dyDescent="0.25">
      <c r="P16" t="s">
        <v>94</v>
      </c>
      <c r="Q16" t="s">
        <v>131</v>
      </c>
      <c r="R16" s="21" t="s">
        <v>106</v>
      </c>
      <c r="S16" s="21" t="s">
        <v>97</v>
      </c>
      <c r="T16" s="21" t="s">
        <v>96</v>
      </c>
      <c r="U16">
        <v>25</v>
      </c>
      <c r="V16" t="str">
        <f>_xlfn.XLOOKUP(Tabla5[[#This Row],[Naturaleza]],Tabla37[Naturaleza],Tabla37[Código])</f>
        <v>01</v>
      </c>
      <c r="W16" t="str">
        <f>_xlfn.XLOOKUP(Tabla5[[#This Row],[Categoría]],Tabla1[Categoría],Tabla1[Código],"",0,1)</f>
        <v>09</v>
      </c>
      <c r="X16" t="str">
        <f>_xlfn.XLOOKUP(Tabla5[[#This Row],[Tipo]],Tabla2[Tipo],Tabla2[Código],"",0,1)</f>
        <v>01</v>
      </c>
      <c r="Y16" t="str">
        <f>_xlfn.XLOOKUP(Tabla5[[#This Row],[Formato]],Tabla3[Formato],Tabla3[Código],"",0,1)</f>
        <v>02</v>
      </c>
      <c r="Z16" t="str">
        <f>_xlfn.XLOOKUP("Local",Tabla4[Mercado],Tabla4[Código],"",0,1)</f>
        <v>01</v>
      </c>
      <c r="AA16" t="str">
        <f>_xlfn.XLOOKUP(Tabla5[[#This Row],[Cliente]],Tabla6[Cliente],Tabla6[Código])</f>
        <v>01</v>
      </c>
      <c r="AB16" t="str">
        <f>Tabla5[[#This Row],[Cód. Naturaleza]]&amp;Tabla5[[#This Row],[Cód. Cliente]]&amp;Tabla5[[#This Row],[Cód. Categoría]]&amp;Tabla5[[#This Row],[Cód. Tipo]]&amp;Tabla5[[#This Row],[Cód. Formato]]&amp;Tabla5[[#This Row],[Cód. Mercado]]</f>
        <v>010109010201</v>
      </c>
      <c r="AC16" t="s">
        <v>42</v>
      </c>
      <c r="AD16">
        <v>6014</v>
      </c>
      <c r="AE16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16">
        <v>114</v>
      </c>
    </row>
    <row r="17" spans="16:32" x14ac:dyDescent="0.25">
      <c r="P17" t="s">
        <v>94</v>
      </c>
      <c r="Q17" t="s">
        <v>133</v>
      </c>
      <c r="R17" s="21" t="s">
        <v>57</v>
      </c>
      <c r="S17" s="21" t="s">
        <v>97</v>
      </c>
      <c r="T17" s="21" t="s">
        <v>96</v>
      </c>
      <c r="U17">
        <v>25</v>
      </c>
      <c r="V17" t="str">
        <f>_xlfn.XLOOKUP(Tabla5[[#This Row],[Naturaleza]],Tabla37[Naturaleza],Tabla37[Código])</f>
        <v>01</v>
      </c>
      <c r="W17" t="str">
        <f>_xlfn.XLOOKUP(Tabla5[[#This Row],[Categoría]],Tabla1[Categoría],Tabla1[Código],"",0,1)</f>
        <v>02</v>
      </c>
      <c r="X17" t="str">
        <f>_xlfn.XLOOKUP(Tabla5[[#This Row],[Tipo]],Tabla2[Tipo],Tabla2[Código],"",0,1)</f>
        <v>01</v>
      </c>
      <c r="Y17" t="str">
        <f>_xlfn.XLOOKUP(Tabla5[[#This Row],[Formato]],Tabla3[Formato],Tabla3[Código],"",0,1)</f>
        <v>02</v>
      </c>
      <c r="Z17" t="str">
        <f>_xlfn.XLOOKUP("Local",Tabla4[Mercado],Tabla4[Código],"",0,1)</f>
        <v>01</v>
      </c>
      <c r="AA17" t="str">
        <f>_xlfn.XLOOKUP(Tabla5[[#This Row],[Cliente]],Tabla6[Cliente],Tabla6[Código])</f>
        <v>03</v>
      </c>
      <c r="AB17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010302010201</v>
      </c>
      <c r="AC17" t="s">
        <v>112</v>
      </c>
      <c r="AD17">
        <v>7001</v>
      </c>
      <c r="AE17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17">
        <v>115</v>
      </c>
    </row>
    <row r="18" spans="16:32" x14ac:dyDescent="0.25">
      <c r="P18" t="s">
        <v>94</v>
      </c>
      <c r="Q18" t="s">
        <v>133</v>
      </c>
      <c r="R18" s="21" t="s">
        <v>110</v>
      </c>
      <c r="S18" s="21" t="s">
        <v>97</v>
      </c>
      <c r="T18" s="21" t="s">
        <v>96</v>
      </c>
      <c r="U18">
        <v>25</v>
      </c>
      <c r="V18" t="str">
        <f>_xlfn.XLOOKUP(Tabla5[[#This Row],[Naturaleza]],Tabla37[Naturaleza],Tabla37[Código])</f>
        <v>01</v>
      </c>
      <c r="W18" t="str">
        <f>_xlfn.XLOOKUP(Tabla5[[#This Row],[Categoría]],Tabla1[Categoría],Tabla1[Código],"",0,1)</f>
        <v>10</v>
      </c>
      <c r="X18" t="str">
        <f>_xlfn.XLOOKUP(Tabla5[[#This Row],[Tipo]],Tabla2[Tipo],Tabla2[Código],"",0,1)</f>
        <v>01</v>
      </c>
      <c r="Y18" t="str">
        <f>_xlfn.XLOOKUP(Tabla5[[#This Row],[Formato]],Tabla3[Formato],Tabla3[Código],"",0,1)</f>
        <v>02</v>
      </c>
      <c r="Z18" t="str">
        <f>_xlfn.XLOOKUP("Local",Tabla4[Mercado],Tabla4[Código],"",0,1)</f>
        <v>01</v>
      </c>
      <c r="AA18" t="str">
        <f>_xlfn.XLOOKUP(Tabla5[[#This Row],[Cliente]],Tabla6[Cliente],Tabla6[Código])</f>
        <v>03</v>
      </c>
      <c r="AB18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010310010201</v>
      </c>
      <c r="AC18" t="s">
        <v>113</v>
      </c>
      <c r="AD18">
        <v>7002</v>
      </c>
      <c r="AE18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18">
        <v>116</v>
      </c>
    </row>
    <row r="19" spans="16:32" x14ac:dyDescent="0.25">
      <c r="P19" t="s">
        <v>94</v>
      </c>
      <c r="Q19" t="s">
        <v>133</v>
      </c>
      <c r="R19" s="21" t="s">
        <v>57</v>
      </c>
      <c r="S19" s="21" t="s">
        <v>99</v>
      </c>
      <c r="T19" s="21" t="s">
        <v>96</v>
      </c>
      <c r="U19">
        <v>25</v>
      </c>
      <c r="V19" t="str">
        <f>_xlfn.XLOOKUP(Tabla5[[#This Row],[Naturaleza]],Tabla37[Naturaleza],Tabla37[Código])</f>
        <v>01</v>
      </c>
      <c r="W19" t="str">
        <f>_xlfn.XLOOKUP(Tabla5[[#This Row],[Categoría]],Tabla1[Categoría],Tabla1[Código],"",0,1)</f>
        <v>02</v>
      </c>
      <c r="X19" t="str">
        <f>_xlfn.XLOOKUP(Tabla5[[#This Row],[Tipo]],Tabla2[Tipo],Tabla2[Código],"",0,1)</f>
        <v>03</v>
      </c>
      <c r="Y19" t="str">
        <f>_xlfn.XLOOKUP(Tabla5[[#This Row],[Formato]],Tabla3[Formato],Tabla3[Código],"",0,1)</f>
        <v>02</v>
      </c>
      <c r="Z19" t="str">
        <f>_xlfn.XLOOKUP("Local",Tabla4[Mercado],Tabla4[Código],"",0,1)</f>
        <v>01</v>
      </c>
      <c r="AA19" t="str">
        <f>_xlfn.XLOOKUP(Tabla5[[#This Row],[Cliente]],Tabla6[Cliente],Tabla6[Código])</f>
        <v>03</v>
      </c>
      <c r="AB19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010302030201</v>
      </c>
      <c r="AC19" t="s">
        <v>114</v>
      </c>
      <c r="AD19">
        <v>7003</v>
      </c>
      <c r="AE19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19">
        <v>117</v>
      </c>
    </row>
    <row r="20" spans="16:32" x14ac:dyDescent="0.25">
      <c r="P20" t="s">
        <v>94</v>
      </c>
      <c r="Q20" t="s">
        <v>133</v>
      </c>
      <c r="R20" s="21" t="s">
        <v>110</v>
      </c>
      <c r="S20" s="21" t="s">
        <v>99</v>
      </c>
      <c r="T20" s="21" t="s">
        <v>96</v>
      </c>
      <c r="U20">
        <v>25</v>
      </c>
      <c r="V20" t="str">
        <f>_xlfn.XLOOKUP(Tabla5[[#This Row],[Naturaleza]],Tabla37[Naturaleza],Tabla37[Código])</f>
        <v>01</v>
      </c>
      <c r="W20" s="21" t="str">
        <f>_xlfn.XLOOKUP(Tabla5[[#This Row],[Categoría]],Tabla1[Categoría],Tabla1[Código],"",0,1)</f>
        <v>10</v>
      </c>
      <c r="X20" s="21" t="str">
        <f>_xlfn.XLOOKUP(Tabla5[[#This Row],[Tipo]],Tabla2[Tipo],Tabla2[Código],"",0,1)</f>
        <v>03</v>
      </c>
      <c r="Y20" s="21" t="str">
        <f>_xlfn.XLOOKUP(Tabla5[[#This Row],[Formato]],Tabla3[Formato],Tabla3[Código],"",0,1)</f>
        <v>02</v>
      </c>
      <c r="Z20" t="str">
        <f>_xlfn.XLOOKUP("Local",Tabla4[Mercado],Tabla4[Código],"",0,1)</f>
        <v>01</v>
      </c>
      <c r="AA20" t="str">
        <f>_xlfn.XLOOKUP(Tabla5[[#This Row],[Cliente]],Tabla6[Cliente],Tabla6[Código])</f>
        <v>03</v>
      </c>
      <c r="AB20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010310030201</v>
      </c>
      <c r="AC20" t="s">
        <v>115</v>
      </c>
      <c r="AD20">
        <v>7004</v>
      </c>
      <c r="AE20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20">
        <v>118</v>
      </c>
    </row>
    <row r="21" spans="16:32" x14ac:dyDescent="0.25">
      <c r="P21" t="s">
        <v>93</v>
      </c>
      <c r="Q21" t="s">
        <v>126</v>
      </c>
      <c r="R21" s="21" t="s">
        <v>127</v>
      </c>
      <c r="S21" s="21" t="s">
        <v>129</v>
      </c>
      <c r="T21" s="21" t="s">
        <v>96</v>
      </c>
      <c r="V21" t="str">
        <f>_xlfn.XLOOKUP(Tabla5[[#This Row],[Naturaleza]],Tabla37[Naturaleza],Tabla37[Código])</f>
        <v>02</v>
      </c>
      <c r="W21" t="str">
        <f>_xlfn.XLOOKUP(Tabla5[[#This Row],[Categoría]],Tabla1[Categoría],Tabla1[Código],"",0,1)</f>
        <v>06</v>
      </c>
      <c r="X21" t="str">
        <f>_xlfn.XLOOKUP(Tabla5[[#This Row],[Tipo]],Tabla2[Tipo],Tabla2[Código],"",0,1)</f>
        <v>07</v>
      </c>
      <c r="Y21" t="str">
        <f>_xlfn.XLOOKUP(Tabla5[[#This Row],[Formato]],Tabla3[Formato],Tabla3[Código],"",0,1)</f>
        <v>02</v>
      </c>
      <c r="Z21" t="str">
        <f>_xlfn.XLOOKUP("Local",Tabla4[Mercado],Tabla4[Código],"",0,1)</f>
        <v>01</v>
      </c>
      <c r="AA21" t="str">
        <f>_xlfn.XLOOKUP(Tabla5[[#This Row],[Cliente]],Tabla6[Cliente],Tabla6[Código])</f>
        <v>00</v>
      </c>
      <c r="AB21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020006070201</v>
      </c>
      <c r="AC21" t="s">
        <v>130</v>
      </c>
      <c r="AE21" t="str">
        <f>IFERROR(IF(_xlfn.XLOOKUP(TEXT(Tabla5[[#This Row],[Cód. Patricio R.]],"0"),Diccionario!A:A,Diccionario!C:C,"",0,1)=0,"",_xlfn.XLOOKUP(TEXT(Tabla5[[#This Row],[Cód. Patricio R.]],"0"),Diccionario!A:A,Diccionario!C:C,"",0,1)),"")</f>
        <v/>
      </c>
      <c r="AF21">
        <v>119</v>
      </c>
    </row>
    <row r="22" spans="16:32" x14ac:dyDescent="0.25">
      <c r="P22" t="s">
        <v>93</v>
      </c>
      <c r="Q22" t="s">
        <v>126</v>
      </c>
      <c r="R22" s="24" t="s">
        <v>58</v>
      </c>
      <c r="S22" s="24" t="s">
        <v>98</v>
      </c>
      <c r="T22" s="24" t="s">
        <v>95</v>
      </c>
      <c r="V22" t="str">
        <f>_xlfn.XLOOKUP(Tabla5[[#This Row],[Naturaleza]],Tabla37[Naturaleza],Tabla37[Código])</f>
        <v>02</v>
      </c>
      <c r="W22" t="str">
        <f>_xlfn.XLOOKUP(Tabla5[[#This Row],[Categoría]],Tabla1[Categoría],Tabla1[Código],"",0,1)</f>
        <v>03</v>
      </c>
      <c r="X22" t="str">
        <f>_xlfn.XLOOKUP(Tabla5[[#This Row],[Tipo]],Tabla2[Tipo],Tabla2[Código],"",0,1)</f>
        <v>02</v>
      </c>
      <c r="Y22" t="str">
        <f>_xlfn.XLOOKUP(Tabla5[[#This Row],[Formato]],Tabla3[Formato],Tabla3[Código],"",0,1)</f>
        <v>01</v>
      </c>
      <c r="Z22" t="str">
        <f>_xlfn.XLOOKUP("Local",Tabla4[Mercado],Tabla4[Código],"",0,1)</f>
        <v>01</v>
      </c>
      <c r="AA22" t="str">
        <f>_xlfn.XLOOKUP(Tabla5[[#This Row],[Cliente]],Tabla6[Cliente],Tabla6[Código])</f>
        <v>00</v>
      </c>
      <c r="AB22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020003020101</v>
      </c>
      <c r="AC22" t="s">
        <v>135</v>
      </c>
      <c r="AE22" t="s">
        <v>135</v>
      </c>
      <c r="AF22">
        <v>120</v>
      </c>
    </row>
    <row r="23" spans="16:32" x14ac:dyDescent="0.25">
      <c r="P23" t="s">
        <v>94</v>
      </c>
      <c r="Q23" t="s">
        <v>131</v>
      </c>
      <c r="R23" s="29" t="s">
        <v>58</v>
      </c>
      <c r="S23" s="29" t="s">
        <v>98</v>
      </c>
      <c r="T23" s="29" t="s">
        <v>95</v>
      </c>
      <c r="V23" t="str">
        <f>_xlfn.XLOOKUP(Tabla5[[#This Row],[Naturaleza]],Tabla37[Naturaleza],Tabla37[Código])</f>
        <v>01</v>
      </c>
      <c r="W23" t="str">
        <f>_xlfn.XLOOKUP(Tabla5[[#This Row],[Categoría]],Tabla1[Categoría],Tabla1[Código],"",0,1)</f>
        <v>03</v>
      </c>
      <c r="X23" t="str">
        <f>_xlfn.XLOOKUP(Tabla5[[#This Row],[Tipo]],Tabla2[Tipo],Tabla2[Código],"",0,1)</f>
        <v>02</v>
      </c>
      <c r="Y23" t="str">
        <f>_xlfn.XLOOKUP(Tabla5[[#This Row],[Formato]],Tabla3[Formato],Tabla3[Código],"",0,1)</f>
        <v>01</v>
      </c>
      <c r="Z23" t="str">
        <f>_xlfn.XLOOKUP("Local",Tabla4[Mercado],Tabla4[Código],"",0,1)</f>
        <v>01</v>
      </c>
      <c r="AA23" t="str">
        <f>_xlfn.XLOOKUP(Tabla5[[#This Row],[Cliente]],Tabla6[Cliente],Tabla6[Código])</f>
        <v>01</v>
      </c>
      <c r="AB23" t="str">
        <f>Tabla5[[#This Row],[Cód. Naturaleza]]&amp;Tabla5[[#This Row],[Cód. Cliente]]&amp;Tabla5[[#This Row],[Cód. Categoría]]&amp;Tabla5[[#This Row],[Cód. Tipo]]&amp;Tabla5[[#This Row],[Cód. Formato]]&amp;Tabla5[[#This Row],[Cód. Mercado]]</f>
        <v>010103020101</v>
      </c>
      <c r="AC23" t="s">
        <v>136</v>
      </c>
      <c r="AE23" t="s">
        <v>137</v>
      </c>
      <c r="AF23">
        <v>121</v>
      </c>
    </row>
    <row r="24" spans="16:32" x14ac:dyDescent="0.25">
      <c r="P24" t="s">
        <v>94</v>
      </c>
      <c r="Q24" t="s">
        <v>133</v>
      </c>
      <c r="R24" t="s">
        <v>139</v>
      </c>
      <c r="S24" s="29" t="s">
        <v>99</v>
      </c>
      <c r="T24" s="29" t="s">
        <v>96</v>
      </c>
      <c r="V24" t="str">
        <f>_xlfn.XLOOKUP(Tabla5[[#This Row],[Naturaleza]],Tabla37[Naturaleza],Tabla37[Código])</f>
        <v>01</v>
      </c>
      <c r="W24" t="str">
        <f>_xlfn.XLOOKUP(Tabla5[[#This Row],[Categoría]],Tabla1[Categoría],Tabla1[Código],"",0,1)</f>
        <v>11</v>
      </c>
      <c r="X24" t="str">
        <f>_xlfn.XLOOKUP(Tabla5[[#This Row],[Tipo]],Tabla2[Tipo],Tabla2[Código],"",0,1)</f>
        <v>03</v>
      </c>
      <c r="Y24" t="str">
        <f>_xlfn.XLOOKUP(Tabla5[[#This Row],[Formato]],Tabla3[Formato],Tabla3[Código],"",0,1)</f>
        <v>02</v>
      </c>
      <c r="Z24" t="str">
        <f>_xlfn.XLOOKUP("Local",Tabla4[Mercado],Tabla4[Código],"",0,1)</f>
        <v>01</v>
      </c>
      <c r="AA24" t="str">
        <f>_xlfn.XLOOKUP(Tabla5[[#This Row],[Cliente]],Tabla6[Cliente],Tabla6[Código])</f>
        <v>03</v>
      </c>
      <c r="AB24" t="str">
        <f>Tabla5[[#This Row],[Cód. Naturaleza]]&amp;Tabla5[[#This Row],[Cód. Cliente]]&amp;Tabla5[[#This Row],[Cód. Categoría]]&amp;Tabla5[[#This Row],[Cód. Tipo]]&amp;Tabla5[[#This Row],[Cód. Formato]]&amp;Tabla5[[#This Row],[Cód. Mercado]]</f>
        <v>010311030201</v>
      </c>
      <c r="AC24" t="s">
        <v>138</v>
      </c>
      <c r="AE24" t="s">
        <v>138</v>
      </c>
      <c r="AF24">
        <v>122</v>
      </c>
    </row>
    <row r="25" spans="16:32" x14ac:dyDescent="0.25">
      <c r="P25" t="s">
        <v>93</v>
      </c>
      <c r="Q25" t="s">
        <v>126</v>
      </c>
      <c r="R25" s="29" t="s">
        <v>142</v>
      </c>
      <c r="S25" s="29" t="s">
        <v>141</v>
      </c>
      <c r="T25" s="29" t="s">
        <v>95</v>
      </c>
      <c r="V25" t="str">
        <f>_xlfn.XLOOKUP(Tabla5[[#This Row],[Naturaleza]],Tabla37[Naturaleza],Tabla37[Código])</f>
        <v>02</v>
      </c>
      <c r="W25" t="str">
        <f>_xlfn.XLOOKUP(Tabla5[[#This Row],[Categoría]],Tabla1[Categoría],Tabla1[Código],"",0,1)</f>
        <v>12</v>
      </c>
      <c r="X25" t="str">
        <f>_xlfn.XLOOKUP(Tabla5[[#This Row],[Tipo]],Tabla2[Tipo],Tabla2[Código],"",0,1)</f>
        <v>08</v>
      </c>
      <c r="Y25" t="str">
        <f>_xlfn.XLOOKUP(Tabla5[[#This Row],[Formato]],Tabla3[Formato],Tabla3[Código],"",0,1)</f>
        <v>01</v>
      </c>
      <c r="Z25" t="str">
        <f>_xlfn.XLOOKUP("Local",Tabla4[Mercado],Tabla4[Código],"",0,1)</f>
        <v>01</v>
      </c>
      <c r="AA25" t="str">
        <f>_xlfn.XLOOKUP(Tabla5[[#This Row],[Cliente]],Tabla6[Cliente],Tabla6[Código])</f>
        <v>00</v>
      </c>
      <c r="AB25" t="str">
        <f>Tabla5[[#This Row],[Cód. Naturaleza]]&amp;Tabla5[[#This Row],[Cód. Cliente]]&amp;Tabla5[[#This Row],[Cód. Categoría]]&amp;Tabla5[[#This Row],[Cód. Tipo]]&amp;Tabla5[[#This Row],[Cód. Formato]]&amp;Tabla5[[#This Row],[Cód. Mercado]]</f>
        <v>020012080101</v>
      </c>
      <c r="AC25" t="s">
        <v>144</v>
      </c>
      <c r="AE25" t="s">
        <v>144</v>
      </c>
      <c r="AF25">
        <v>123</v>
      </c>
    </row>
  </sheetData>
  <mergeCells count="1">
    <mergeCell ref="P1:AE1"/>
  </mergeCells>
  <phoneticPr fontId="9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zoomScaleNormal="100" workbookViewId="0">
      <pane ySplit="1" topLeftCell="A2" activePane="bottomLeft" state="frozen"/>
      <selection pane="bottomLeft" activeCell="C4" sqref="C4:E7"/>
    </sheetView>
  </sheetViews>
  <sheetFormatPr baseColWidth="10" defaultColWidth="8.7109375" defaultRowHeight="15" x14ac:dyDescent="0.25"/>
  <cols>
    <col min="1" max="1" width="10" customWidth="1"/>
    <col min="2" max="2" width="46.7109375" bestFit="1" customWidth="1"/>
    <col min="3" max="3" width="22" customWidth="1"/>
    <col min="4" max="4" width="9" customWidth="1"/>
    <col min="5" max="5" width="18" customWidth="1"/>
  </cols>
  <sheetData>
    <row r="1" spans="1:5" ht="3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32" t="s">
        <v>5</v>
      </c>
      <c r="B2" s="33" t="s">
        <v>6</v>
      </c>
      <c r="C2" s="6" t="s">
        <v>7</v>
      </c>
      <c r="D2" s="7" t="s">
        <v>8</v>
      </c>
      <c r="E2" s="8">
        <v>15</v>
      </c>
    </row>
    <row r="3" spans="1:5" x14ac:dyDescent="0.25">
      <c r="A3" s="32"/>
      <c r="B3" s="32"/>
      <c r="C3" s="6" t="s">
        <v>9</v>
      </c>
      <c r="D3" s="7" t="s">
        <v>8</v>
      </c>
      <c r="E3" s="8">
        <v>33</v>
      </c>
    </row>
    <row r="4" spans="1:5" x14ac:dyDescent="0.25">
      <c r="A4" s="34" t="s">
        <v>10</v>
      </c>
      <c r="B4" s="35" t="s">
        <v>11</v>
      </c>
      <c r="C4" s="9" t="s">
        <v>7</v>
      </c>
      <c r="D4" s="10" t="s">
        <v>8</v>
      </c>
      <c r="E4" s="11">
        <v>28</v>
      </c>
    </row>
    <row r="5" spans="1:5" x14ac:dyDescent="0.25">
      <c r="A5" s="34"/>
      <c r="B5" s="34"/>
      <c r="C5" s="9" t="s">
        <v>9</v>
      </c>
      <c r="D5" s="10" t="s">
        <v>8</v>
      </c>
      <c r="E5" s="11">
        <v>68.5</v>
      </c>
    </row>
    <row r="6" spans="1:5" x14ac:dyDescent="0.25">
      <c r="A6" s="34"/>
      <c r="B6" s="34"/>
      <c r="C6" s="9" t="s">
        <v>12</v>
      </c>
      <c r="D6" s="10" t="s">
        <v>13</v>
      </c>
      <c r="E6" s="11">
        <v>4</v>
      </c>
    </row>
    <row r="7" spans="1:5" x14ac:dyDescent="0.25">
      <c r="A7" s="34"/>
      <c r="B7" s="34"/>
      <c r="C7" s="9" t="s">
        <v>14</v>
      </c>
      <c r="D7" s="10" t="s">
        <v>8</v>
      </c>
      <c r="E7" s="11">
        <v>0.6</v>
      </c>
    </row>
    <row r="8" spans="1:5" x14ac:dyDescent="0.25">
      <c r="A8" s="32" t="s">
        <v>15</v>
      </c>
      <c r="B8" s="33" t="s">
        <v>16</v>
      </c>
      <c r="C8" s="6" t="s">
        <v>7</v>
      </c>
      <c r="D8" s="7" t="s">
        <v>8</v>
      </c>
      <c r="E8" s="8">
        <v>27</v>
      </c>
    </row>
    <row r="9" spans="1:5" x14ac:dyDescent="0.25">
      <c r="A9" s="32"/>
      <c r="B9" s="32"/>
      <c r="C9" s="6" t="s">
        <v>9</v>
      </c>
      <c r="D9" s="7" t="s">
        <v>8</v>
      </c>
      <c r="E9" s="8">
        <v>69.2</v>
      </c>
    </row>
    <row r="10" spans="1:5" x14ac:dyDescent="0.25">
      <c r="A10" s="32"/>
      <c r="B10" s="32"/>
      <c r="C10" s="6" t="s">
        <v>17</v>
      </c>
      <c r="D10" s="7" t="s">
        <v>8</v>
      </c>
      <c r="E10" s="8">
        <v>0.3</v>
      </c>
    </row>
    <row r="11" spans="1:5" x14ac:dyDescent="0.25">
      <c r="A11" s="32"/>
      <c r="B11" s="32"/>
      <c r="C11" s="6" t="s">
        <v>12</v>
      </c>
      <c r="D11" s="7" t="s">
        <v>13</v>
      </c>
      <c r="E11" s="8">
        <v>4</v>
      </c>
    </row>
    <row r="12" spans="1:5" x14ac:dyDescent="0.25">
      <c r="A12" s="32"/>
      <c r="B12" s="32"/>
      <c r="C12" s="6" t="s">
        <v>14</v>
      </c>
      <c r="D12" s="7" t="s">
        <v>8</v>
      </c>
      <c r="E12" s="8">
        <v>0.6</v>
      </c>
    </row>
    <row r="13" spans="1:5" x14ac:dyDescent="0.25">
      <c r="A13" s="34" t="s">
        <v>18</v>
      </c>
      <c r="B13" s="35" t="s">
        <v>19</v>
      </c>
      <c r="C13" s="9" t="s">
        <v>7</v>
      </c>
      <c r="D13" s="10" t="s">
        <v>8</v>
      </c>
      <c r="E13" s="11">
        <v>7.55</v>
      </c>
    </row>
    <row r="14" spans="1:5" x14ac:dyDescent="0.25">
      <c r="A14" s="34"/>
      <c r="B14" s="34"/>
      <c r="C14" s="9" t="s">
        <v>9</v>
      </c>
      <c r="D14" s="10" t="s">
        <v>8</v>
      </c>
      <c r="E14" s="11">
        <v>37.450000000000003</v>
      </c>
    </row>
    <row r="15" spans="1:5" x14ac:dyDescent="0.25">
      <c r="A15" s="32" t="s">
        <v>20</v>
      </c>
      <c r="B15" s="33" t="s">
        <v>21</v>
      </c>
      <c r="C15" s="6" t="s">
        <v>7</v>
      </c>
      <c r="D15" s="7" t="s">
        <v>8</v>
      </c>
      <c r="E15" s="8">
        <v>42</v>
      </c>
    </row>
    <row r="16" spans="1:5" x14ac:dyDescent="0.25">
      <c r="A16" s="32"/>
      <c r="B16" s="32"/>
      <c r="C16" s="6" t="s">
        <v>9</v>
      </c>
      <c r="D16" s="7" t="s">
        <v>8</v>
      </c>
      <c r="E16" s="8">
        <v>5</v>
      </c>
    </row>
    <row r="17" spans="1:5" x14ac:dyDescent="0.25">
      <c r="A17" s="34" t="s">
        <v>22</v>
      </c>
      <c r="B17" s="35" t="s">
        <v>23</v>
      </c>
      <c r="C17" s="9" t="s">
        <v>7</v>
      </c>
      <c r="D17" s="10" t="s">
        <v>8</v>
      </c>
      <c r="E17" s="11">
        <v>42</v>
      </c>
    </row>
    <row r="18" spans="1:5" x14ac:dyDescent="0.25">
      <c r="A18" s="34"/>
      <c r="B18" s="34"/>
      <c r="C18" s="9" t="s">
        <v>9</v>
      </c>
      <c r="D18" s="10" t="s">
        <v>8</v>
      </c>
      <c r="E18" s="11">
        <v>5</v>
      </c>
    </row>
    <row r="19" spans="1:5" x14ac:dyDescent="0.25">
      <c r="A19" s="32" t="s">
        <v>24</v>
      </c>
      <c r="B19" s="33" t="s">
        <v>25</v>
      </c>
      <c r="C19" s="6" t="s">
        <v>7</v>
      </c>
      <c r="D19" s="7" t="s">
        <v>8</v>
      </c>
      <c r="E19" s="8">
        <v>84</v>
      </c>
    </row>
    <row r="20" spans="1:5" x14ac:dyDescent="0.25">
      <c r="A20" s="32"/>
      <c r="B20" s="32"/>
      <c r="C20" s="6" t="s">
        <v>9</v>
      </c>
      <c r="D20" s="7" t="s">
        <v>8</v>
      </c>
      <c r="E20" s="8">
        <v>2</v>
      </c>
    </row>
    <row r="21" spans="1:5" x14ac:dyDescent="0.25">
      <c r="A21" s="32"/>
      <c r="B21" s="32"/>
      <c r="C21" s="6" t="s">
        <v>26</v>
      </c>
      <c r="D21" s="7" t="s">
        <v>13</v>
      </c>
      <c r="E21" s="8">
        <v>5</v>
      </c>
    </row>
    <row r="22" spans="1:5" x14ac:dyDescent="0.25">
      <c r="A22" s="32"/>
      <c r="B22" s="32"/>
      <c r="C22" s="6" t="s">
        <v>27</v>
      </c>
      <c r="D22" s="7" t="s">
        <v>13</v>
      </c>
      <c r="E22" s="8">
        <v>5</v>
      </c>
    </row>
    <row r="23" spans="1:5" x14ac:dyDescent="0.25">
      <c r="A23" s="34" t="s">
        <v>28</v>
      </c>
      <c r="B23" s="35" t="s">
        <v>29</v>
      </c>
      <c r="C23" s="9" t="s">
        <v>7</v>
      </c>
      <c r="D23" s="10" t="s">
        <v>8</v>
      </c>
      <c r="E23" s="11">
        <v>27</v>
      </c>
    </row>
    <row r="24" spans="1:5" x14ac:dyDescent="0.25">
      <c r="A24" s="34"/>
      <c r="B24" s="34"/>
      <c r="C24" s="9" t="s">
        <v>9</v>
      </c>
      <c r="D24" s="10" t="s">
        <v>8</v>
      </c>
      <c r="E24" s="11">
        <v>69.5</v>
      </c>
    </row>
    <row r="25" spans="1:5" x14ac:dyDescent="0.25">
      <c r="A25" s="34"/>
      <c r="B25" s="34"/>
      <c r="C25" s="9" t="s">
        <v>12</v>
      </c>
      <c r="D25" s="10" t="s">
        <v>13</v>
      </c>
      <c r="E25" s="11">
        <v>4</v>
      </c>
    </row>
    <row r="26" spans="1:5" x14ac:dyDescent="0.25">
      <c r="A26" s="34"/>
      <c r="B26" s="34"/>
      <c r="C26" s="9" t="s">
        <v>14</v>
      </c>
      <c r="D26" s="10" t="s">
        <v>8</v>
      </c>
      <c r="E26" s="11">
        <v>0.6</v>
      </c>
    </row>
    <row r="27" spans="1:5" x14ac:dyDescent="0.25">
      <c r="A27" s="32" t="s">
        <v>30</v>
      </c>
      <c r="B27" s="33" t="s">
        <v>31</v>
      </c>
      <c r="C27" s="6" t="s">
        <v>7</v>
      </c>
      <c r="D27" s="7" t="s">
        <v>8</v>
      </c>
      <c r="E27" s="8">
        <v>27</v>
      </c>
    </row>
    <row r="28" spans="1:5" x14ac:dyDescent="0.25">
      <c r="A28" s="32"/>
      <c r="B28" s="32"/>
      <c r="C28" s="6" t="s">
        <v>9</v>
      </c>
      <c r="D28" s="7" t="s">
        <v>8</v>
      </c>
      <c r="E28" s="8">
        <v>69.2</v>
      </c>
    </row>
    <row r="29" spans="1:5" x14ac:dyDescent="0.25">
      <c r="A29" s="32"/>
      <c r="B29" s="32"/>
      <c r="C29" s="6" t="s">
        <v>17</v>
      </c>
      <c r="D29" s="7" t="s">
        <v>8</v>
      </c>
      <c r="E29" s="8">
        <v>0.3</v>
      </c>
    </row>
    <row r="30" spans="1:5" x14ac:dyDescent="0.25">
      <c r="A30" s="32"/>
      <c r="B30" s="32"/>
      <c r="C30" s="6" t="s">
        <v>12</v>
      </c>
      <c r="D30" s="7" t="s">
        <v>13</v>
      </c>
      <c r="E30" s="8">
        <v>4</v>
      </c>
    </row>
    <row r="31" spans="1:5" x14ac:dyDescent="0.25">
      <c r="A31" s="32"/>
      <c r="B31" s="32"/>
      <c r="C31" s="6" t="s">
        <v>14</v>
      </c>
      <c r="D31" s="7" t="s">
        <v>8</v>
      </c>
      <c r="E31" s="8">
        <v>0.6</v>
      </c>
    </row>
    <row r="32" spans="1:5" x14ac:dyDescent="0.25">
      <c r="A32" s="34" t="s">
        <v>32</v>
      </c>
      <c r="B32" s="35" t="s">
        <v>33</v>
      </c>
      <c r="C32" s="9" t="s">
        <v>7</v>
      </c>
      <c r="D32" s="10" t="s">
        <v>8</v>
      </c>
      <c r="E32" s="11">
        <v>1.5</v>
      </c>
    </row>
    <row r="33" spans="1:5" x14ac:dyDescent="0.25">
      <c r="A33" s="34"/>
      <c r="B33" s="34"/>
      <c r="C33" s="9" t="s">
        <v>9</v>
      </c>
      <c r="D33" s="10" t="s">
        <v>8</v>
      </c>
      <c r="E33" s="11">
        <v>94.5</v>
      </c>
    </row>
    <row r="34" spans="1:5" x14ac:dyDescent="0.25">
      <c r="A34" s="34"/>
      <c r="B34" s="34"/>
      <c r="C34" s="9" t="s">
        <v>12</v>
      </c>
      <c r="D34" s="10" t="s">
        <v>13</v>
      </c>
      <c r="E34" s="11">
        <v>4</v>
      </c>
    </row>
    <row r="35" spans="1:5" x14ac:dyDescent="0.25">
      <c r="A35" s="34"/>
      <c r="B35" s="34"/>
      <c r="C35" s="9" t="s">
        <v>14</v>
      </c>
      <c r="D35" s="10" t="s">
        <v>8</v>
      </c>
      <c r="E35" s="11">
        <v>0.6</v>
      </c>
    </row>
    <row r="36" spans="1:5" x14ac:dyDescent="0.25">
      <c r="A36" s="32" t="s">
        <v>34</v>
      </c>
      <c r="B36" s="33" t="s">
        <v>35</v>
      </c>
      <c r="C36" s="6" t="s">
        <v>7</v>
      </c>
      <c r="D36" s="7" t="s">
        <v>8</v>
      </c>
      <c r="E36" s="8">
        <v>1.5</v>
      </c>
    </row>
    <row r="37" spans="1:5" x14ac:dyDescent="0.25">
      <c r="A37" s="32"/>
      <c r="B37" s="32"/>
      <c r="C37" s="6" t="s">
        <v>9</v>
      </c>
      <c r="D37" s="7" t="s">
        <v>8</v>
      </c>
      <c r="E37" s="8">
        <v>94.2</v>
      </c>
    </row>
    <row r="38" spans="1:5" x14ac:dyDescent="0.25">
      <c r="A38" s="32"/>
      <c r="B38" s="32"/>
      <c r="C38" s="6" t="s">
        <v>17</v>
      </c>
      <c r="D38" s="7" t="s">
        <v>8</v>
      </c>
      <c r="E38" s="8">
        <v>0.3</v>
      </c>
    </row>
    <row r="39" spans="1:5" x14ac:dyDescent="0.25">
      <c r="A39" s="32"/>
      <c r="B39" s="32"/>
      <c r="C39" s="6" t="s">
        <v>12</v>
      </c>
      <c r="D39" s="7" t="s">
        <v>13</v>
      </c>
      <c r="E39" s="8">
        <v>4</v>
      </c>
    </row>
    <row r="40" spans="1:5" x14ac:dyDescent="0.25">
      <c r="A40" s="32"/>
      <c r="B40" s="32"/>
      <c r="C40" s="6" t="s">
        <v>14</v>
      </c>
      <c r="D40" s="7" t="s">
        <v>8</v>
      </c>
      <c r="E40" s="8">
        <v>0.6</v>
      </c>
    </row>
    <row r="41" spans="1:5" x14ac:dyDescent="0.25">
      <c r="A41" s="34" t="s">
        <v>36</v>
      </c>
      <c r="B41" s="35" t="s">
        <v>37</v>
      </c>
      <c r="C41" s="9" t="s">
        <v>7</v>
      </c>
      <c r="D41" s="10" t="s">
        <v>8</v>
      </c>
      <c r="E41" s="11">
        <v>84</v>
      </c>
    </row>
    <row r="42" spans="1:5" x14ac:dyDescent="0.25">
      <c r="A42" s="34"/>
      <c r="B42" s="34"/>
      <c r="C42" s="9" t="s">
        <v>9</v>
      </c>
      <c r="D42" s="10" t="s">
        <v>8</v>
      </c>
      <c r="E42" s="11">
        <v>1.85</v>
      </c>
    </row>
    <row r="43" spans="1:5" x14ac:dyDescent="0.25">
      <c r="A43" s="34"/>
      <c r="B43" s="34"/>
      <c r="C43" s="9" t="s">
        <v>38</v>
      </c>
      <c r="D43" s="10" t="s">
        <v>8</v>
      </c>
      <c r="E43" s="11">
        <v>0.15</v>
      </c>
    </row>
    <row r="44" spans="1:5" x14ac:dyDescent="0.25">
      <c r="A44" s="34"/>
      <c r="B44" s="34"/>
      <c r="C44" s="9" t="s">
        <v>26</v>
      </c>
      <c r="D44" s="10" t="s">
        <v>13</v>
      </c>
      <c r="E44" s="11">
        <v>5</v>
      </c>
    </row>
    <row r="45" spans="1:5" x14ac:dyDescent="0.25">
      <c r="A45" s="34"/>
      <c r="B45" s="34"/>
      <c r="C45" s="9" t="s">
        <v>27</v>
      </c>
      <c r="D45" s="10" t="s">
        <v>13</v>
      </c>
      <c r="E45" s="11">
        <v>5</v>
      </c>
    </row>
    <row r="46" spans="1:5" x14ac:dyDescent="0.25">
      <c r="A46" s="32" t="s">
        <v>39</v>
      </c>
      <c r="B46" s="33" t="s">
        <v>40</v>
      </c>
      <c r="C46" s="6" t="s">
        <v>7</v>
      </c>
      <c r="D46" s="7" t="s">
        <v>8</v>
      </c>
      <c r="E46" s="8">
        <v>5</v>
      </c>
    </row>
    <row r="47" spans="1:5" x14ac:dyDescent="0.25">
      <c r="A47" s="32"/>
      <c r="B47" s="32"/>
      <c r="C47" s="6" t="s">
        <v>9</v>
      </c>
      <c r="D47" s="7" t="s">
        <v>8</v>
      </c>
      <c r="E47" s="8">
        <v>91</v>
      </c>
    </row>
    <row r="48" spans="1:5" x14ac:dyDescent="0.25">
      <c r="A48" s="32"/>
      <c r="B48" s="32"/>
      <c r="C48" s="6" t="s">
        <v>12</v>
      </c>
      <c r="D48" s="7" t="s">
        <v>13</v>
      </c>
      <c r="E48" s="8">
        <v>4</v>
      </c>
    </row>
    <row r="49" spans="1:5" x14ac:dyDescent="0.25">
      <c r="A49" s="32"/>
      <c r="B49" s="32"/>
      <c r="C49" s="6" t="s">
        <v>14</v>
      </c>
      <c r="D49" s="7" t="s">
        <v>8</v>
      </c>
      <c r="E49" s="8">
        <v>0.6</v>
      </c>
    </row>
    <row r="50" spans="1:5" x14ac:dyDescent="0.25">
      <c r="A50" s="34" t="s">
        <v>41</v>
      </c>
      <c r="B50" s="35" t="s">
        <v>42</v>
      </c>
      <c r="C50" s="9" t="s">
        <v>43</v>
      </c>
      <c r="D50" s="10" t="s">
        <v>8</v>
      </c>
      <c r="E50" s="11">
        <v>96.5</v>
      </c>
    </row>
    <row r="51" spans="1:5" x14ac:dyDescent="0.25">
      <c r="A51" s="34"/>
      <c r="B51" s="34"/>
      <c r="C51" s="9" t="s">
        <v>12</v>
      </c>
      <c r="D51" s="10" t="s">
        <v>13</v>
      </c>
      <c r="E51" s="11">
        <v>4</v>
      </c>
    </row>
    <row r="52" spans="1:5" x14ac:dyDescent="0.25">
      <c r="A52" s="34"/>
      <c r="B52" s="34"/>
      <c r="C52" s="9" t="s">
        <v>14</v>
      </c>
      <c r="D52" s="10" t="s">
        <v>8</v>
      </c>
      <c r="E52" s="11">
        <v>0.6</v>
      </c>
    </row>
  </sheetData>
  <autoFilter ref="A1:E52" xr:uid="{00000000-0009-0000-0000-000000000000}"/>
  <mergeCells count="28">
    <mergeCell ref="A46:A49"/>
    <mergeCell ref="B46:B49"/>
    <mergeCell ref="A50:A52"/>
    <mergeCell ref="B50:B52"/>
    <mergeCell ref="A32:A35"/>
    <mergeCell ref="B32:B35"/>
    <mergeCell ref="A36:A40"/>
    <mergeCell ref="B36:B40"/>
    <mergeCell ref="A41:A45"/>
    <mergeCell ref="B41:B45"/>
    <mergeCell ref="A19:A22"/>
    <mergeCell ref="B19:B22"/>
    <mergeCell ref="A23:A26"/>
    <mergeCell ref="B23:B26"/>
    <mergeCell ref="A27:A31"/>
    <mergeCell ref="B27:B31"/>
    <mergeCell ref="A13:A14"/>
    <mergeCell ref="B13:B14"/>
    <mergeCell ref="A15:A16"/>
    <mergeCell ref="B15:B16"/>
    <mergeCell ref="A17:A18"/>
    <mergeCell ref="B17:B18"/>
    <mergeCell ref="A2:A3"/>
    <mergeCell ref="B2:B3"/>
    <mergeCell ref="A4:A7"/>
    <mergeCell ref="B4:B7"/>
    <mergeCell ref="A8:A12"/>
    <mergeCell ref="B8:B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9" sqref="G19"/>
    </sheetView>
  </sheetViews>
  <sheetFormatPr baseColWidth="10" defaultColWidth="8.7109375" defaultRowHeight="15" x14ac:dyDescent="0.25"/>
  <cols>
    <col min="1" max="1" width="10" customWidth="1"/>
    <col min="2" max="2" width="42" customWidth="1"/>
    <col min="3" max="11" width="18" customWidth="1"/>
  </cols>
  <sheetData>
    <row r="1" spans="1:11" ht="45" customHeight="1" x14ac:dyDescent="0.25">
      <c r="A1" s="5" t="s">
        <v>0</v>
      </c>
      <c r="B1" s="5" t="s">
        <v>1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</row>
    <row r="2" spans="1:11" x14ac:dyDescent="0.25">
      <c r="A2" s="4" t="s">
        <v>5</v>
      </c>
      <c r="B2" s="3" t="s">
        <v>6</v>
      </c>
      <c r="C2" s="12">
        <v>15</v>
      </c>
      <c r="D2" s="12">
        <v>33</v>
      </c>
      <c r="E2" s="12"/>
      <c r="F2" s="12"/>
      <c r="G2" s="12"/>
      <c r="H2" s="12"/>
      <c r="I2" s="12"/>
      <c r="J2" s="12"/>
      <c r="K2" s="12"/>
    </row>
    <row r="3" spans="1:11" x14ac:dyDescent="0.25">
      <c r="A3" s="2" t="s">
        <v>10</v>
      </c>
      <c r="B3" s="1" t="s">
        <v>11</v>
      </c>
      <c r="C3" s="13">
        <v>28</v>
      </c>
      <c r="D3" s="13">
        <v>68.5</v>
      </c>
      <c r="E3" s="25">
        <v>4</v>
      </c>
      <c r="F3" s="13">
        <v>0.6</v>
      </c>
      <c r="G3" s="13"/>
      <c r="H3" s="13"/>
      <c r="I3" s="13"/>
      <c r="J3" s="13"/>
      <c r="K3" s="13"/>
    </row>
    <row r="4" spans="1:11" x14ac:dyDescent="0.25">
      <c r="A4" s="14" t="s">
        <v>15</v>
      </c>
      <c r="B4" s="15" t="s">
        <v>16</v>
      </c>
      <c r="C4" s="16">
        <v>27</v>
      </c>
      <c r="D4" s="16">
        <v>69.2</v>
      </c>
      <c r="E4" s="26">
        <v>4</v>
      </c>
      <c r="F4" s="16">
        <v>0.6</v>
      </c>
      <c r="G4" s="16">
        <v>0.3</v>
      </c>
      <c r="H4" s="16"/>
      <c r="I4" s="16"/>
      <c r="J4" s="16"/>
      <c r="K4" s="16"/>
    </row>
    <row r="5" spans="1:11" x14ac:dyDescent="0.25">
      <c r="A5" s="2" t="s">
        <v>18</v>
      </c>
      <c r="B5" s="1" t="s">
        <v>19</v>
      </c>
      <c r="C5" s="13">
        <v>7.55</v>
      </c>
      <c r="D5" s="13">
        <v>37.450000000000003</v>
      </c>
      <c r="E5" s="25"/>
      <c r="F5" s="13"/>
      <c r="G5" s="13"/>
      <c r="H5" s="13"/>
      <c r="I5" s="13"/>
      <c r="J5" s="13"/>
      <c r="K5" s="13"/>
    </row>
    <row r="6" spans="1:11" x14ac:dyDescent="0.25">
      <c r="A6" s="17" t="s">
        <v>20</v>
      </c>
      <c r="B6" s="18" t="s">
        <v>21</v>
      </c>
      <c r="C6" s="19">
        <v>42</v>
      </c>
      <c r="D6" s="19">
        <v>5</v>
      </c>
      <c r="E6" s="27"/>
      <c r="F6" s="19"/>
      <c r="G6" s="19"/>
      <c r="H6" s="19"/>
      <c r="I6" s="19"/>
      <c r="J6" s="19"/>
      <c r="K6" s="19"/>
    </row>
    <row r="7" spans="1:11" x14ac:dyDescent="0.25">
      <c r="A7" s="17" t="s">
        <v>22</v>
      </c>
      <c r="B7" s="18" t="s">
        <v>23</v>
      </c>
      <c r="C7" s="19">
        <v>42</v>
      </c>
      <c r="D7" s="19">
        <v>5</v>
      </c>
      <c r="E7" s="27"/>
      <c r="F7" s="19"/>
      <c r="G7" s="19"/>
      <c r="H7" s="19"/>
      <c r="I7" s="19"/>
      <c r="J7" s="19"/>
      <c r="K7" s="19"/>
    </row>
    <row r="8" spans="1:11" x14ac:dyDescent="0.25">
      <c r="A8" s="4" t="s">
        <v>24</v>
      </c>
      <c r="B8" s="3" t="s">
        <v>25</v>
      </c>
      <c r="C8" s="12">
        <v>84</v>
      </c>
      <c r="D8" s="12">
        <v>2</v>
      </c>
      <c r="E8" s="28"/>
      <c r="F8" s="12"/>
      <c r="G8" s="12"/>
      <c r="H8" s="12">
        <v>5</v>
      </c>
      <c r="I8" s="12">
        <v>5</v>
      </c>
      <c r="J8" s="12"/>
      <c r="K8" s="12"/>
    </row>
    <row r="9" spans="1:11" x14ac:dyDescent="0.25">
      <c r="A9" s="2" t="s">
        <v>28</v>
      </c>
      <c r="B9" s="1" t="s">
        <v>29</v>
      </c>
      <c r="C9" s="13">
        <v>27</v>
      </c>
      <c r="D9" s="13">
        <v>69.5</v>
      </c>
      <c r="E9" s="25">
        <v>4</v>
      </c>
      <c r="F9" s="13">
        <v>0.6</v>
      </c>
      <c r="G9" s="13"/>
      <c r="H9" s="13"/>
      <c r="I9" s="13"/>
      <c r="J9" s="13"/>
      <c r="K9" s="13"/>
    </row>
    <row r="10" spans="1:11" x14ac:dyDescent="0.25">
      <c r="A10" s="14" t="s">
        <v>30</v>
      </c>
      <c r="B10" s="15" t="s">
        <v>31</v>
      </c>
      <c r="C10" s="16">
        <v>27</v>
      </c>
      <c r="D10" s="16">
        <v>69.2</v>
      </c>
      <c r="E10" s="26">
        <v>4</v>
      </c>
      <c r="F10" s="16">
        <v>0.6</v>
      </c>
      <c r="G10" s="16">
        <v>0.3</v>
      </c>
      <c r="H10" s="16"/>
      <c r="I10" s="16"/>
      <c r="J10" s="16"/>
      <c r="K10" s="16"/>
    </row>
    <row r="11" spans="1:11" x14ac:dyDescent="0.25">
      <c r="A11" s="2" t="s">
        <v>32</v>
      </c>
      <c r="B11" s="1" t="s">
        <v>33</v>
      </c>
      <c r="C11" s="13">
        <v>1.5</v>
      </c>
      <c r="D11" s="13">
        <v>94.5</v>
      </c>
      <c r="E11" s="25">
        <v>4</v>
      </c>
      <c r="F11" s="13">
        <v>0.6</v>
      </c>
      <c r="G11" s="13"/>
      <c r="H11" s="13"/>
      <c r="I11" s="13"/>
      <c r="J11" s="13"/>
      <c r="K11" s="13"/>
    </row>
    <row r="12" spans="1:11" x14ac:dyDescent="0.25">
      <c r="A12" s="4" t="s">
        <v>34</v>
      </c>
      <c r="B12" s="3" t="s">
        <v>35</v>
      </c>
      <c r="C12" s="12">
        <v>1.5</v>
      </c>
      <c r="D12" s="12">
        <v>94.2</v>
      </c>
      <c r="E12" s="28">
        <v>4</v>
      </c>
      <c r="F12" s="12">
        <v>0.6</v>
      </c>
      <c r="G12" s="12">
        <v>0.3</v>
      </c>
      <c r="H12" s="12"/>
      <c r="I12" s="12"/>
      <c r="J12" s="12"/>
      <c r="K12" s="12"/>
    </row>
    <row r="13" spans="1:11" x14ac:dyDescent="0.25">
      <c r="A13" s="2" t="s">
        <v>36</v>
      </c>
      <c r="B13" s="1" t="s">
        <v>37</v>
      </c>
      <c r="C13" s="13">
        <v>84</v>
      </c>
      <c r="D13" s="13">
        <v>1.85</v>
      </c>
      <c r="E13" s="25"/>
      <c r="F13" s="13"/>
      <c r="G13" s="13"/>
      <c r="H13" s="13">
        <v>5</v>
      </c>
      <c r="I13" s="13">
        <v>5</v>
      </c>
      <c r="J13" s="13">
        <v>0.15</v>
      </c>
      <c r="K13" s="13"/>
    </row>
    <row r="14" spans="1:11" x14ac:dyDescent="0.25">
      <c r="A14" s="4" t="s">
        <v>39</v>
      </c>
      <c r="B14" s="3" t="s">
        <v>40</v>
      </c>
      <c r="C14" s="12">
        <v>5</v>
      </c>
      <c r="D14" s="12">
        <v>91</v>
      </c>
      <c r="E14" s="28">
        <v>4</v>
      </c>
      <c r="F14" s="12">
        <v>0.6</v>
      </c>
      <c r="G14" s="12"/>
      <c r="H14" s="12"/>
      <c r="I14" s="12"/>
      <c r="J14" s="12"/>
      <c r="K14" s="12"/>
    </row>
    <row r="15" spans="1:11" x14ac:dyDescent="0.25">
      <c r="A15" s="2" t="s">
        <v>41</v>
      </c>
      <c r="B15" s="1" t="s">
        <v>42</v>
      </c>
      <c r="C15" s="13"/>
      <c r="D15" s="13"/>
      <c r="E15" s="25">
        <v>4</v>
      </c>
      <c r="F15" s="13">
        <v>0.6</v>
      </c>
      <c r="G15" s="13"/>
      <c r="H15" s="13"/>
      <c r="I15" s="13"/>
      <c r="J15" s="13"/>
      <c r="K15" s="13">
        <v>96.5</v>
      </c>
    </row>
  </sheetData>
  <autoFilter ref="A1:K1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EFC0-42BA-448E-A29D-70309032C6DF}">
  <dimension ref="A1:G28"/>
  <sheetViews>
    <sheetView workbookViewId="0">
      <selection activeCell="C5" sqref="C5"/>
    </sheetView>
  </sheetViews>
  <sheetFormatPr baseColWidth="10" defaultRowHeight="15" x14ac:dyDescent="0.25"/>
  <cols>
    <col min="2" max="2" width="46.7109375" bestFit="1" customWidth="1"/>
    <col min="3" max="3" width="33.85546875" bestFit="1" customWidth="1"/>
    <col min="4" max="4" width="42" customWidth="1"/>
    <col min="6" max="6" width="17" bestFit="1" customWidth="1"/>
    <col min="7" max="7" width="17.42578125" customWidth="1"/>
  </cols>
  <sheetData>
    <row r="1" spans="1:4" x14ac:dyDescent="0.25">
      <c r="A1" s="5" t="s">
        <v>0</v>
      </c>
      <c r="B1" s="5" t="s">
        <v>1</v>
      </c>
      <c r="C1" s="5" t="s">
        <v>53</v>
      </c>
      <c r="D1" s="5" t="s">
        <v>54</v>
      </c>
    </row>
    <row r="2" spans="1:4" x14ac:dyDescent="0.25">
      <c r="A2" s="4" t="s">
        <v>5</v>
      </c>
      <c r="B2" s="3" t="s">
        <v>6</v>
      </c>
      <c r="C2" s="4" t="s">
        <v>73</v>
      </c>
      <c r="D2" s="3"/>
    </row>
    <row r="3" spans="1:4" x14ac:dyDescent="0.25">
      <c r="A3" s="2" t="s">
        <v>10</v>
      </c>
      <c r="B3" s="1" t="s">
        <v>11</v>
      </c>
      <c r="C3" s="2" t="s">
        <v>77</v>
      </c>
      <c r="D3" s="1"/>
    </row>
    <row r="4" spans="1:4" x14ac:dyDescent="0.25">
      <c r="A4" s="14" t="s">
        <v>15</v>
      </c>
      <c r="B4" s="15" t="s">
        <v>16</v>
      </c>
      <c r="C4" s="4" t="s">
        <v>78</v>
      </c>
      <c r="D4" s="3"/>
    </row>
    <row r="5" spans="1:4" x14ac:dyDescent="0.25">
      <c r="A5" s="2" t="s">
        <v>18</v>
      </c>
      <c r="B5" s="1" t="s">
        <v>19</v>
      </c>
      <c r="C5" s="2" t="s">
        <v>76</v>
      </c>
      <c r="D5" s="1"/>
    </row>
    <row r="6" spans="1:4" x14ac:dyDescent="0.25">
      <c r="A6" s="17" t="s">
        <v>20</v>
      </c>
      <c r="B6" s="18" t="s">
        <v>21</v>
      </c>
      <c r="C6" s="4" t="s">
        <v>79</v>
      </c>
      <c r="D6" s="3"/>
    </row>
    <row r="7" spans="1:4" x14ac:dyDescent="0.25">
      <c r="A7" s="17" t="s">
        <v>22</v>
      </c>
      <c r="B7" s="18" t="s">
        <v>23</v>
      </c>
      <c r="C7" s="2" t="s">
        <v>80</v>
      </c>
      <c r="D7" s="1"/>
    </row>
    <row r="8" spans="1:4" x14ac:dyDescent="0.25">
      <c r="A8" s="4" t="s">
        <v>24</v>
      </c>
      <c r="B8" s="3" t="s">
        <v>25</v>
      </c>
      <c r="C8" s="4" t="s">
        <v>81</v>
      </c>
      <c r="D8" s="3"/>
    </row>
    <row r="9" spans="1:4" x14ac:dyDescent="0.25">
      <c r="A9" s="2" t="s">
        <v>28</v>
      </c>
      <c r="B9" s="1" t="s">
        <v>29</v>
      </c>
      <c r="C9" s="2" t="s">
        <v>83</v>
      </c>
      <c r="D9" s="1"/>
    </row>
    <row r="10" spans="1:4" x14ac:dyDescent="0.25">
      <c r="A10" s="14" t="s">
        <v>30</v>
      </c>
      <c r="B10" s="15" t="s">
        <v>31</v>
      </c>
      <c r="C10" s="4" t="s">
        <v>82</v>
      </c>
      <c r="D10" s="3"/>
    </row>
    <row r="11" spans="1:4" x14ac:dyDescent="0.25">
      <c r="A11" s="2" t="s">
        <v>32</v>
      </c>
      <c r="B11" s="1" t="s">
        <v>33</v>
      </c>
      <c r="C11" s="2" t="s">
        <v>84</v>
      </c>
      <c r="D11" s="1"/>
    </row>
    <row r="12" spans="1:4" x14ac:dyDescent="0.25">
      <c r="A12" s="4" t="s">
        <v>34</v>
      </c>
      <c r="B12" s="3" t="s">
        <v>35</v>
      </c>
      <c r="C12" s="4" t="s">
        <v>85</v>
      </c>
      <c r="D12" s="3"/>
    </row>
    <row r="13" spans="1:4" x14ac:dyDescent="0.25">
      <c r="A13" s="2" t="s">
        <v>36</v>
      </c>
      <c r="B13" s="1" t="s">
        <v>37</v>
      </c>
      <c r="C13" s="2"/>
      <c r="D13" s="1"/>
    </row>
    <row r="14" spans="1:4" x14ac:dyDescent="0.25">
      <c r="A14" s="4" t="s">
        <v>39</v>
      </c>
      <c r="B14" s="3" t="s">
        <v>40</v>
      </c>
      <c r="C14" s="4" t="s">
        <v>86</v>
      </c>
      <c r="D14" s="3"/>
    </row>
    <row r="15" spans="1:4" x14ac:dyDescent="0.25">
      <c r="A15" s="2" t="s">
        <v>41</v>
      </c>
      <c r="B15" s="1" t="s">
        <v>42</v>
      </c>
      <c r="C15" s="2"/>
      <c r="D15" s="1"/>
    </row>
    <row r="18" spans="2:7" x14ac:dyDescent="0.25"/>
    <row r="21" spans="2:7" x14ac:dyDescent="0.25">
      <c r="C21" t="s">
        <v>68</v>
      </c>
      <c r="D21" t="s">
        <v>69</v>
      </c>
      <c r="E21" t="s">
        <v>70</v>
      </c>
      <c r="F21" t="s">
        <v>74</v>
      </c>
      <c r="G21" t="s">
        <v>75</v>
      </c>
    </row>
    <row r="22" spans="2:7" x14ac:dyDescent="0.25">
      <c r="B22" t="s">
        <v>67</v>
      </c>
      <c r="C22" t="s">
        <v>55</v>
      </c>
      <c r="D22" t="s">
        <v>56</v>
      </c>
    </row>
    <row r="23" spans="2:7" x14ac:dyDescent="0.25">
      <c r="B23" t="s">
        <v>57</v>
      </c>
      <c r="C23" s="20" t="s">
        <v>62</v>
      </c>
    </row>
    <row r="24" spans="2:7" x14ac:dyDescent="0.25">
      <c r="B24" t="s">
        <v>58</v>
      </c>
      <c r="C24" s="20" t="s">
        <v>63</v>
      </c>
    </row>
    <row r="25" spans="2:7" x14ac:dyDescent="0.25">
      <c r="B25" t="s">
        <v>59</v>
      </c>
      <c r="C25" s="20" t="s">
        <v>64</v>
      </c>
    </row>
    <row r="26" spans="2:7" x14ac:dyDescent="0.25">
      <c r="B26" t="s">
        <v>60</v>
      </c>
      <c r="C26" s="20" t="s">
        <v>65</v>
      </c>
    </row>
    <row r="27" spans="2:7" x14ac:dyDescent="0.25">
      <c r="B27" t="s">
        <v>61</v>
      </c>
      <c r="C27" s="20" t="s">
        <v>66</v>
      </c>
    </row>
    <row r="28" spans="2:7" x14ac:dyDescent="0.25">
      <c r="B28" t="s">
        <v>71</v>
      </c>
      <c r="C28" t="s">
        <v>72</v>
      </c>
    </row>
  </sheetData>
  <phoneticPr fontId="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Validación de productos</vt:lpstr>
      <vt:lpstr>Código de Producto</vt:lpstr>
      <vt:lpstr>Recetas (detalle)</vt:lpstr>
      <vt:lpstr>Resumen por receta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Sepúlveda</cp:lastModifiedBy>
  <cp:revision>0</cp:revision>
  <dcterms:created xsi:type="dcterms:W3CDTF">2026-04-28T16:31:57Z</dcterms:created>
  <dcterms:modified xsi:type="dcterms:W3CDTF">2026-06-25T16:27:26Z</dcterms:modified>
  <dc:language>en-US</dc:language>
</cp:coreProperties>
</file>